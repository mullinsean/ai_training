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brid Improvements" sheetId="1" state="visible" r:id="rId3"/>
    <sheet name="Year by Year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<sst xmlns="http://schemas.openxmlformats.org/spreadsheetml/2006/main" count="593" uniqueCount="119">
  <si>
    <t xml:space="preserve">Make</t>
  </si>
  <si>
    <t xml:space="preserve">Base Model</t>
  </si>
  <si>
    <t xml:space="preserve">Hybrid Model Name</t>
  </si>
  <si>
    <t xml:space="preserve">Year Introduced</t>
  </si>
  <si>
    <t xml:space="preserve">Conventional (L/100km)</t>
  </si>
  <si>
    <t xml:space="preserve">Hybrid (L/100km)</t>
  </si>
  <si>
    <t xml:space="preserve">Improvement (L/100km)</t>
  </si>
  <si>
    <t xml:space="preserve">% Improvement</t>
  </si>
  <si>
    <t xml:space="preserve">Infiniti</t>
  </si>
  <si>
    <t xml:space="preserve">Q70</t>
  </si>
  <si>
    <t xml:space="preserve">Q70 Hybrid</t>
  </si>
  <si>
    <t xml:space="preserve">Honda</t>
  </si>
  <si>
    <t xml:space="preserve">ACCORD</t>
  </si>
  <si>
    <t xml:space="preserve">Accord Hybrid</t>
  </si>
  <si>
    <t xml:space="preserve">Kia</t>
  </si>
  <si>
    <t xml:space="preserve">CARNIVAL</t>
  </si>
  <si>
    <t xml:space="preserve">Carnival Hybrid</t>
  </si>
  <si>
    <t xml:space="preserve">Toyota</t>
  </si>
  <si>
    <t xml:space="preserve">GRAND HIGHLANDER AWD LIMITED</t>
  </si>
  <si>
    <t xml:space="preserve">Grand Highlander Hybrid AWD Limited</t>
  </si>
  <si>
    <t xml:space="preserve">Hyundai</t>
  </si>
  <si>
    <t xml:space="preserve">SANTA FE AWD</t>
  </si>
  <si>
    <t xml:space="preserve">Santa Fe Hybrid AWD</t>
  </si>
  <si>
    <t xml:space="preserve">SPORTAGE AWD</t>
  </si>
  <si>
    <t xml:space="preserve">Sportage Hybrid AWD</t>
  </si>
  <si>
    <t xml:space="preserve">Ford</t>
  </si>
  <si>
    <t xml:space="preserve">FUSION</t>
  </si>
  <si>
    <t xml:space="preserve">Fusion Hybrid</t>
  </si>
  <si>
    <t xml:space="preserve">SORENTO AWD</t>
  </si>
  <si>
    <t xml:space="preserve">Sorento Hybrid AWD</t>
  </si>
  <si>
    <t xml:space="preserve">Chevrolet</t>
  </si>
  <si>
    <t xml:space="preserve">MALIBU</t>
  </si>
  <si>
    <t xml:space="preserve">Malibu Hybrid</t>
  </si>
  <si>
    <t xml:space="preserve">MAVERICK AWD</t>
  </si>
  <si>
    <t xml:space="preserve">Maverick Hybrid AWD</t>
  </si>
  <si>
    <t xml:space="preserve">Lincoln</t>
  </si>
  <si>
    <t xml:space="preserve">MKZ</t>
  </si>
  <si>
    <t xml:space="preserve">MKZ Hybrid</t>
  </si>
  <si>
    <t xml:space="preserve">HIGHLANDER AWD</t>
  </si>
  <si>
    <t xml:space="preserve">Highlander Hybrid AWD</t>
  </si>
  <si>
    <t xml:space="preserve">OPTIMA</t>
  </si>
  <si>
    <t xml:space="preserve">Optima Hybrid</t>
  </si>
  <si>
    <t xml:space="preserve">Volkswagen</t>
  </si>
  <si>
    <t xml:space="preserve">JETTA</t>
  </si>
  <si>
    <t xml:space="preserve">Jetta Hybrid</t>
  </si>
  <si>
    <t xml:space="preserve">GRAND HIGHLANDER AWD XLE</t>
  </si>
  <si>
    <t xml:space="preserve">Grand Highlander Hybrid AWD XLE</t>
  </si>
  <si>
    <t xml:space="preserve">ACCORD SPORT/TOURING</t>
  </si>
  <si>
    <t xml:space="preserve">Accord Hybrid Sport/Touring</t>
  </si>
  <si>
    <t xml:space="preserve">Q50</t>
  </si>
  <si>
    <t xml:space="preserve">Q50 Hybrid</t>
  </si>
  <si>
    <t xml:space="preserve">ESCAPE AWD</t>
  </si>
  <si>
    <t xml:space="preserve">Escape Hybrid AWD</t>
  </si>
  <si>
    <t xml:space="preserve">Acura</t>
  </si>
  <si>
    <t xml:space="preserve">ILX</t>
  </si>
  <si>
    <t xml:space="preserve">ILX Hybrid</t>
  </si>
  <si>
    <t xml:space="preserve">Mazda</t>
  </si>
  <si>
    <t xml:space="preserve">CX-50 4WD</t>
  </si>
  <si>
    <t xml:space="preserve">CX-50 Hybrid 4WD</t>
  </si>
  <si>
    <t xml:space="preserve">Q50 AWD</t>
  </si>
  <si>
    <t xml:space="preserve">Q50 Hybrid AWD</t>
  </si>
  <si>
    <t xml:space="preserve">COROLLA</t>
  </si>
  <si>
    <t xml:space="preserve">Corolla Hybrid</t>
  </si>
  <si>
    <t xml:space="preserve">SONATA SE</t>
  </si>
  <si>
    <t xml:space="preserve">Sonata Hybrid SE</t>
  </si>
  <si>
    <t xml:space="preserve">ELANTRA</t>
  </si>
  <si>
    <t xml:space="preserve">Elantra Hybrid</t>
  </si>
  <si>
    <t xml:space="preserve">SONATA</t>
  </si>
  <si>
    <t xml:space="preserve">Sonata Hybrid</t>
  </si>
  <si>
    <t xml:space="preserve">RAV4 AWD</t>
  </si>
  <si>
    <t xml:space="preserve">RAV4 Hybrid AWD</t>
  </si>
  <si>
    <t xml:space="preserve">RLX</t>
  </si>
  <si>
    <t xml:space="preserve">RLX Hybrid</t>
  </si>
  <si>
    <t xml:space="preserve">COROLLA CROSS AWD</t>
  </si>
  <si>
    <t xml:space="preserve">Corolla Cross Hybrid AWD</t>
  </si>
  <si>
    <t xml:space="preserve">CIVIC</t>
  </si>
  <si>
    <t xml:space="preserve">Civic Hybrid</t>
  </si>
  <si>
    <t xml:space="preserve">NAUTILUS AWD</t>
  </si>
  <si>
    <t xml:space="preserve">Nautilus Hybrid AWD</t>
  </si>
  <si>
    <t xml:space="preserve">ESCAPE</t>
  </si>
  <si>
    <t xml:space="preserve">Escape Hybrid</t>
  </si>
  <si>
    <t xml:space="preserve">Audi</t>
  </si>
  <si>
    <t xml:space="preserve">Q5</t>
  </si>
  <si>
    <t xml:space="preserve">Q5 Hybrid</t>
  </si>
  <si>
    <t xml:space="preserve">CR-V AWD</t>
  </si>
  <si>
    <t xml:space="preserve">CR-V Hybrid AWD</t>
  </si>
  <si>
    <t xml:space="preserve">CIVIC HATCHBACK</t>
  </si>
  <si>
    <t xml:space="preserve">Civic Hatchback Hybrid</t>
  </si>
  <si>
    <t xml:space="preserve">Q5 QUATTRO</t>
  </si>
  <si>
    <t xml:space="preserve">Q5 Hybrid quattro</t>
  </si>
  <si>
    <t xml:space="preserve">QX60 AWD</t>
  </si>
  <si>
    <t xml:space="preserve">QX60 Hybrid AWD</t>
  </si>
  <si>
    <t xml:space="preserve">F-150</t>
  </si>
  <si>
    <t xml:space="preserve">F-150 Hybrid</t>
  </si>
  <si>
    <t xml:space="preserve">CIVIC SEDAN</t>
  </si>
  <si>
    <t xml:space="preserve">Civic Sedan Hybrid</t>
  </si>
  <si>
    <t xml:space="preserve">Nissan</t>
  </si>
  <si>
    <t xml:space="preserve">PATHFINDER 4WD</t>
  </si>
  <si>
    <t xml:space="preserve">Pathfinder Hybrid 4WD</t>
  </si>
  <si>
    <t xml:space="preserve">TUCSON</t>
  </si>
  <si>
    <t xml:space="preserve">Tucson Hybrid</t>
  </si>
  <si>
    <t xml:space="preserve">SANTA FE</t>
  </si>
  <si>
    <t xml:space="preserve">Santa Fe Hybrid</t>
  </si>
  <si>
    <t xml:space="preserve">TACOMA 4WD</t>
  </si>
  <si>
    <t xml:space="preserve">Tacoma Hybrid 4WD</t>
  </si>
  <si>
    <t xml:space="preserve">F-150 4X4</t>
  </si>
  <si>
    <t xml:space="preserve">F-150 Hybrid 4X4</t>
  </si>
  <si>
    <t xml:space="preserve">EXPLORER AWD</t>
  </si>
  <si>
    <t xml:space="preserve">Explorer Hybrid AWD</t>
  </si>
  <si>
    <t xml:space="preserve">4RUNNER 4WD (PART-TIME 4WD)</t>
  </si>
  <si>
    <t xml:space="preserve">4Runner Hybrid 4WD (Part-Time 4WD)</t>
  </si>
  <si>
    <t xml:space="preserve">Subaru</t>
  </si>
  <si>
    <t xml:space="preserve">XV CROSSTREK AWD</t>
  </si>
  <si>
    <t xml:space="preserve">XV Crosstrek Hybrid AWD</t>
  </si>
  <si>
    <t xml:space="preserve">TUNDRA 4WD</t>
  </si>
  <si>
    <t xml:space="preserve">Tundra Hybrid 4WD</t>
  </si>
  <si>
    <t xml:space="preserve">AVERAGE:</t>
  </si>
  <si>
    <t xml:space="preserve">Hybrid Model</t>
  </si>
  <si>
    <t xml:space="preserve">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</si>
</sst>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61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2015</v>
      </c>
      <c r="E2" s="2" t="n">
        <v>11.7</v>
      </c>
      <c r="F2" s="2" t="n">
        <v>7.5</v>
      </c>
      <c r="G2" s="3" t="n">
        <f aca="false">E2-F2</f>
        <v>4.2</v>
      </c>
      <c r="H2" s="4" t="n">
        <f aca="false">G2/E2*100</f>
        <v>35.8974358974359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2015</v>
      </c>
      <c r="E3" s="2" t="n">
        <v>9</v>
      </c>
      <c r="F3" s="2" t="n">
        <v>5</v>
      </c>
      <c r="G3" s="3" t="n">
        <f aca="false">E3-F3</f>
        <v>4</v>
      </c>
      <c r="H3" s="4" t="n">
        <f aca="false">G3/E3*100</f>
        <v>44.4444444444444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n">
        <v>2025</v>
      </c>
      <c r="E4" s="2" t="n">
        <v>11.1</v>
      </c>
      <c r="F4" s="2" t="n">
        <v>7.2</v>
      </c>
      <c r="G4" s="3" t="n">
        <f aca="false">E4-F4</f>
        <v>3.9</v>
      </c>
      <c r="H4" s="4" t="n">
        <f aca="false">G4/E4*100</f>
        <v>35.1351351351351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n">
        <v>2024</v>
      </c>
      <c r="E5" s="2" t="n">
        <v>10.7</v>
      </c>
      <c r="F5" s="2" t="n">
        <v>7</v>
      </c>
      <c r="G5" s="3" t="n">
        <f aca="false">E5-F5</f>
        <v>3.7</v>
      </c>
      <c r="H5" s="4" t="n">
        <f aca="false">G5/E5*100</f>
        <v>34.5794392523365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n">
        <v>2024</v>
      </c>
      <c r="E6" s="2" t="n">
        <v>10.6</v>
      </c>
      <c r="F6" s="2" t="n">
        <v>6.9</v>
      </c>
      <c r="G6" s="3" t="n">
        <f aca="false">E6-F6</f>
        <v>3.7</v>
      </c>
      <c r="H6" s="4" t="n">
        <f aca="false">G6/E6*100</f>
        <v>34.9056603773585</v>
      </c>
    </row>
    <row r="7" customFormat="false" ht="15" hidden="false" customHeight="false" outlineLevel="0" collapsed="false">
      <c r="A7" s="0" t="s">
        <v>14</v>
      </c>
      <c r="B7" s="0" t="s">
        <v>23</v>
      </c>
      <c r="C7" s="0" t="s">
        <v>24</v>
      </c>
      <c r="D7" s="0" t="n">
        <v>2023</v>
      </c>
      <c r="E7" s="2" t="n">
        <v>9.5</v>
      </c>
      <c r="F7" s="2" t="n">
        <v>6.2</v>
      </c>
      <c r="G7" s="3" t="n">
        <f aca="false">E7-F7</f>
        <v>3.3</v>
      </c>
      <c r="H7" s="4" t="n">
        <f aca="false">G7/E7*100</f>
        <v>34.7368421052632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D8" s="0" t="n">
        <v>2015</v>
      </c>
      <c r="E8" s="2" t="n">
        <v>8.73333333333333</v>
      </c>
      <c r="F8" s="2" t="n">
        <v>5.5</v>
      </c>
      <c r="G8" s="3" t="n">
        <f aca="false">E8-F8</f>
        <v>3.23333333333333</v>
      </c>
      <c r="H8" s="4" t="n">
        <f aca="false">G8/E8*100</f>
        <v>37.0229007633588</v>
      </c>
    </row>
    <row r="9" customFormat="false" ht="15" hidden="false" customHeight="false" outlineLevel="0" collapsed="false">
      <c r="A9" s="0" t="s">
        <v>14</v>
      </c>
      <c r="B9" s="0" t="s">
        <v>28</v>
      </c>
      <c r="C9" s="0" t="s">
        <v>29</v>
      </c>
      <c r="D9" s="0" t="n">
        <v>2022</v>
      </c>
      <c r="E9" s="2" t="n">
        <v>9.8</v>
      </c>
      <c r="F9" s="2" t="n">
        <v>6.6</v>
      </c>
      <c r="G9" s="3" t="n">
        <f aca="false">E9-F9</f>
        <v>3.2</v>
      </c>
      <c r="H9" s="4" t="n">
        <f aca="false">G9/E9*100</f>
        <v>32.6530612244898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32</v>
      </c>
      <c r="D10" s="0" t="n">
        <v>2016</v>
      </c>
      <c r="E10" s="2" t="n">
        <v>8.3</v>
      </c>
      <c r="F10" s="2" t="n">
        <v>5.1</v>
      </c>
      <c r="G10" s="3" t="n">
        <f aca="false">E10-F10</f>
        <v>3.2</v>
      </c>
      <c r="H10" s="4" t="n">
        <f aca="false">G10/E10*100</f>
        <v>38.5542168674699</v>
      </c>
    </row>
    <row r="11" customFormat="false" ht="15" hidden="false" customHeight="false" outlineLevel="0" collapsed="false">
      <c r="A11" s="0" t="s">
        <v>25</v>
      </c>
      <c r="B11" s="0" t="s">
        <v>33</v>
      </c>
      <c r="C11" s="0" t="s">
        <v>34</v>
      </c>
      <c r="D11" s="0" t="n">
        <v>2025</v>
      </c>
      <c r="E11" s="2" t="n">
        <v>9.4</v>
      </c>
      <c r="F11" s="2" t="n">
        <v>6.3</v>
      </c>
      <c r="G11" s="3" t="n">
        <f aca="false">E11-F11</f>
        <v>3.1</v>
      </c>
      <c r="H11" s="4" t="n">
        <f aca="false">G11/E11*100</f>
        <v>32.9787234042553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37</v>
      </c>
      <c r="D12" s="0" t="n">
        <v>2015</v>
      </c>
      <c r="E12" s="2" t="n">
        <v>8.9</v>
      </c>
      <c r="F12" s="2" t="n">
        <v>5.8</v>
      </c>
      <c r="G12" s="3" t="n">
        <f aca="false">E12-F12</f>
        <v>3.1</v>
      </c>
      <c r="H12" s="4" t="n">
        <f aca="false">G12/E12*100</f>
        <v>34.8314606741573</v>
      </c>
    </row>
    <row r="13" customFormat="false" ht="15" hidden="false" customHeight="false" outlineLevel="0" collapsed="false">
      <c r="A13" s="0" t="s">
        <v>17</v>
      </c>
      <c r="B13" s="0" t="s">
        <v>38</v>
      </c>
      <c r="C13" s="0" t="s">
        <v>39</v>
      </c>
      <c r="D13" s="0" t="n">
        <v>2015</v>
      </c>
      <c r="E13" s="2" t="n">
        <v>11.6</v>
      </c>
      <c r="F13" s="2" t="n">
        <v>8.5</v>
      </c>
      <c r="G13" s="3" t="n">
        <f aca="false">E13-F13</f>
        <v>3.1</v>
      </c>
      <c r="H13" s="4" t="n">
        <f aca="false">G13/E13*100</f>
        <v>26.7241379310345</v>
      </c>
    </row>
    <row r="14" customFormat="false" ht="15" hidden="false" customHeight="false" outlineLevel="0" collapsed="false">
      <c r="A14" s="0" t="s">
        <v>14</v>
      </c>
      <c r="B14" s="0" t="s">
        <v>40</v>
      </c>
      <c r="C14" s="0" t="s">
        <v>41</v>
      </c>
      <c r="D14" s="0" t="n">
        <v>2015</v>
      </c>
      <c r="E14" s="2" t="n">
        <v>9.3</v>
      </c>
      <c r="F14" s="2" t="n">
        <v>6.3</v>
      </c>
      <c r="G14" s="3" t="n">
        <f aca="false">E14-F14</f>
        <v>3</v>
      </c>
      <c r="H14" s="4" t="n">
        <f aca="false">G14/E14*100</f>
        <v>32.258064516129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44</v>
      </c>
      <c r="D15" s="0" t="n">
        <v>2015</v>
      </c>
      <c r="E15" s="2" t="n">
        <v>8.3</v>
      </c>
      <c r="F15" s="2" t="n">
        <v>5.3</v>
      </c>
      <c r="G15" s="3" t="n">
        <f aca="false">E15-F15</f>
        <v>3</v>
      </c>
      <c r="H15" s="4" t="n">
        <f aca="false">G15/E15*100</f>
        <v>36.144578313253</v>
      </c>
    </row>
    <row r="16" customFormat="false" ht="15" hidden="false" customHeight="false" outlineLevel="0" collapsed="false">
      <c r="A16" s="0" t="s">
        <v>17</v>
      </c>
      <c r="B16" s="0" t="s">
        <v>45</v>
      </c>
      <c r="C16" s="0" t="s">
        <v>46</v>
      </c>
      <c r="D16" s="0" t="n">
        <v>2024</v>
      </c>
      <c r="E16" s="2" t="n">
        <v>10</v>
      </c>
      <c r="F16" s="2" t="n">
        <v>7</v>
      </c>
      <c r="G16" s="3" t="n">
        <f aca="false">E16-F16</f>
        <v>3</v>
      </c>
      <c r="H16" s="4" t="n">
        <f aca="false">G16/E16*100</f>
        <v>30</v>
      </c>
    </row>
    <row r="17" customFormat="false" ht="15" hidden="false" customHeight="false" outlineLevel="0" collapsed="false">
      <c r="A17" s="0" t="s">
        <v>11</v>
      </c>
      <c r="B17" s="0" t="s">
        <v>47</v>
      </c>
      <c r="C17" s="0" t="s">
        <v>48</v>
      </c>
      <c r="D17" s="0" t="n">
        <v>2021</v>
      </c>
      <c r="E17" s="2" t="n">
        <v>8.3</v>
      </c>
      <c r="F17" s="2" t="n">
        <v>5.5</v>
      </c>
      <c r="G17" s="3" t="n">
        <f aca="false">E17-F17</f>
        <v>2.8</v>
      </c>
      <c r="H17" s="4" t="n">
        <f aca="false">G17/E17*100</f>
        <v>33.7349397590361</v>
      </c>
    </row>
    <row r="18" customFormat="false" ht="15" hidden="false" customHeight="false" outlineLevel="0" collapsed="false">
      <c r="A18" s="0" t="s">
        <v>8</v>
      </c>
      <c r="B18" s="0" t="s">
        <v>49</v>
      </c>
      <c r="C18" s="0" t="s">
        <v>50</v>
      </c>
      <c r="D18" s="0" t="n">
        <v>2015</v>
      </c>
      <c r="E18" s="2" t="n">
        <v>10.3</v>
      </c>
      <c r="F18" s="2" t="n">
        <v>7.5</v>
      </c>
      <c r="G18" s="3" t="n">
        <f aca="false">E18-F18</f>
        <v>2.8</v>
      </c>
      <c r="H18" s="4" t="n">
        <f aca="false">G18/E18*100</f>
        <v>27.1844660194175</v>
      </c>
    </row>
    <row r="19" customFormat="false" ht="15" hidden="false" customHeight="false" outlineLevel="0" collapsed="false">
      <c r="A19" s="0" t="s">
        <v>25</v>
      </c>
      <c r="B19" s="0" t="s">
        <v>51</v>
      </c>
      <c r="C19" s="0" t="s">
        <v>52</v>
      </c>
      <c r="D19" s="0" t="n">
        <v>2020</v>
      </c>
      <c r="E19" s="2" t="n">
        <v>8.7</v>
      </c>
      <c r="F19" s="2" t="n">
        <v>5.9</v>
      </c>
      <c r="G19" s="3" t="n">
        <f aca="false">E19-F19</f>
        <v>2.8</v>
      </c>
      <c r="H19" s="4" t="n">
        <f aca="false">G19/E19*100</f>
        <v>32.183908045977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s">
        <v>55</v>
      </c>
      <c r="D20" s="0" t="n">
        <v>2015</v>
      </c>
      <c r="E20" s="2" t="n">
        <v>8.8</v>
      </c>
      <c r="F20" s="2" t="n">
        <v>6.1</v>
      </c>
      <c r="G20" s="3" t="n">
        <f aca="false">E20-F20</f>
        <v>2.7</v>
      </c>
      <c r="H20" s="4" t="n">
        <f aca="false">G20/E20*100</f>
        <v>30.6818181818182</v>
      </c>
    </row>
    <row r="21" customFormat="false" ht="15" hidden="false" customHeight="false" outlineLevel="0" collapsed="false">
      <c r="A21" s="0" t="s">
        <v>56</v>
      </c>
      <c r="B21" s="0" t="s">
        <v>57</v>
      </c>
      <c r="C21" s="0" t="s">
        <v>58</v>
      </c>
      <c r="D21" s="0" t="n">
        <v>2025</v>
      </c>
      <c r="E21" s="2" t="n">
        <v>8.9</v>
      </c>
      <c r="F21" s="2" t="n">
        <v>6.2</v>
      </c>
      <c r="G21" s="3" t="n">
        <f aca="false">E21-F21</f>
        <v>2.7</v>
      </c>
      <c r="H21" s="4" t="n">
        <f aca="false">G21/E21*100</f>
        <v>30.3370786516854</v>
      </c>
    </row>
    <row r="22" customFormat="false" ht="15" hidden="false" customHeight="false" outlineLevel="0" collapsed="false">
      <c r="A22" s="0" t="s">
        <v>8</v>
      </c>
      <c r="B22" s="0" t="s">
        <v>59</v>
      </c>
      <c r="C22" s="0" t="s">
        <v>60</v>
      </c>
      <c r="D22" s="0" t="n">
        <v>2015</v>
      </c>
      <c r="E22" s="2" t="n">
        <v>10.8</v>
      </c>
      <c r="F22" s="2" t="n">
        <v>8.2</v>
      </c>
      <c r="G22" s="3" t="n">
        <f aca="false">E22-F22</f>
        <v>2.6</v>
      </c>
      <c r="H22" s="4" t="n">
        <f aca="false">G22/E22*100</f>
        <v>24.0740740740741</v>
      </c>
    </row>
    <row r="23" customFormat="false" ht="15" hidden="false" customHeight="false" outlineLevel="0" collapsed="false">
      <c r="A23" s="0" t="s">
        <v>17</v>
      </c>
      <c r="B23" s="0" t="s">
        <v>61</v>
      </c>
      <c r="C23" s="0" t="s">
        <v>62</v>
      </c>
      <c r="D23" s="0" t="n">
        <v>2020</v>
      </c>
      <c r="E23" s="2" t="n">
        <v>7.075</v>
      </c>
      <c r="F23" s="2" t="n">
        <v>4.5</v>
      </c>
      <c r="G23" s="3" t="n">
        <f aca="false">E23-F23</f>
        <v>2.575</v>
      </c>
      <c r="H23" s="4" t="n">
        <f aca="false">G23/E23*100</f>
        <v>36.3957597173145</v>
      </c>
    </row>
    <row r="24" customFormat="false" ht="15" hidden="false" customHeight="false" outlineLevel="0" collapsed="false">
      <c r="A24" s="0" t="s">
        <v>20</v>
      </c>
      <c r="B24" s="0" t="s">
        <v>63</v>
      </c>
      <c r="C24" s="0" t="s">
        <v>64</v>
      </c>
      <c r="D24" s="0" t="n">
        <v>2019</v>
      </c>
      <c r="E24" s="2" t="n">
        <v>8.1</v>
      </c>
      <c r="F24" s="2" t="n">
        <v>5.6</v>
      </c>
      <c r="G24" s="3" t="n">
        <f aca="false">E24-F24</f>
        <v>2.5</v>
      </c>
      <c r="H24" s="4" t="n">
        <f aca="false">G24/E24*100</f>
        <v>30.8641975308642</v>
      </c>
    </row>
    <row r="25" customFormat="false" ht="15" hidden="false" customHeight="false" outlineLevel="0" collapsed="false">
      <c r="A25" s="0" t="s">
        <v>20</v>
      </c>
      <c r="B25" s="0" t="s">
        <v>65</v>
      </c>
      <c r="C25" s="0" t="s">
        <v>66</v>
      </c>
      <c r="D25" s="0" t="n">
        <v>2023</v>
      </c>
      <c r="E25" s="2" t="n">
        <v>7.15</v>
      </c>
      <c r="F25" s="2" t="n">
        <v>4.7</v>
      </c>
      <c r="G25" s="3" t="n">
        <f aca="false">E25-F25</f>
        <v>2.45</v>
      </c>
      <c r="H25" s="4" t="n">
        <f aca="false">G25/E25*100</f>
        <v>34.2657342657343</v>
      </c>
    </row>
    <row r="26" customFormat="false" ht="15" hidden="false" customHeight="false" outlineLevel="0" collapsed="false">
      <c r="A26" s="0" t="s">
        <v>20</v>
      </c>
      <c r="B26" s="0" t="s">
        <v>67</v>
      </c>
      <c r="C26" s="0" t="s">
        <v>68</v>
      </c>
      <c r="D26" s="0" t="n">
        <v>2015</v>
      </c>
      <c r="E26" s="2" t="n">
        <v>8.75</v>
      </c>
      <c r="F26" s="2" t="n">
        <v>6.3</v>
      </c>
      <c r="G26" s="3" t="n">
        <f aca="false">E26-F26</f>
        <v>2.45</v>
      </c>
      <c r="H26" s="4" t="n">
        <f aca="false">G26/E26*100</f>
        <v>28</v>
      </c>
    </row>
    <row r="27" customFormat="false" ht="15" hidden="false" customHeight="false" outlineLevel="0" collapsed="false">
      <c r="A27" s="0" t="s">
        <v>17</v>
      </c>
      <c r="B27" s="0" t="s">
        <v>69</v>
      </c>
      <c r="C27" s="0" t="s">
        <v>70</v>
      </c>
      <c r="D27" s="0" t="n">
        <v>2016</v>
      </c>
      <c r="E27" s="2" t="n">
        <v>9.5</v>
      </c>
      <c r="F27" s="2" t="n">
        <v>7.2</v>
      </c>
      <c r="G27" s="3" t="n">
        <f aca="false">E27-F27</f>
        <v>2.3</v>
      </c>
      <c r="H27" s="4" t="n">
        <f aca="false">G27/E27*100</f>
        <v>24.2105263157895</v>
      </c>
    </row>
    <row r="28" customFormat="false" ht="15" hidden="false" customHeight="false" outlineLevel="0" collapsed="false">
      <c r="A28" s="0" t="s">
        <v>53</v>
      </c>
      <c r="B28" s="0" t="s">
        <v>71</v>
      </c>
      <c r="C28" s="0" t="s">
        <v>72</v>
      </c>
      <c r="D28" s="0" t="n">
        <v>2015</v>
      </c>
      <c r="E28" s="2" t="n">
        <v>10</v>
      </c>
      <c r="F28" s="2" t="n">
        <v>7.7</v>
      </c>
      <c r="G28" s="3" t="n">
        <f aca="false">E28-F28</f>
        <v>2.3</v>
      </c>
      <c r="H28" s="4" t="n">
        <f aca="false">G28/E28*100</f>
        <v>23</v>
      </c>
    </row>
    <row r="29" customFormat="false" ht="15" hidden="false" customHeight="false" outlineLevel="0" collapsed="false">
      <c r="A29" s="0" t="s">
        <v>17</v>
      </c>
      <c r="B29" s="0" t="s">
        <v>73</v>
      </c>
      <c r="C29" s="0" t="s">
        <v>74</v>
      </c>
      <c r="D29" s="0" t="n">
        <v>2023</v>
      </c>
      <c r="E29" s="2" t="n">
        <v>7.8</v>
      </c>
      <c r="F29" s="2" t="n">
        <v>5.6</v>
      </c>
      <c r="G29" s="3" t="n">
        <f aca="false">E29-F29</f>
        <v>2.2</v>
      </c>
      <c r="H29" s="4" t="n">
        <f aca="false">G29/E29*100</f>
        <v>28.2051282051282</v>
      </c>
    </row>
    <row r="30" customFormat="false" ht="15" hidden="false" customHeight="false" outlineLevel="0" collapsed="false">
      <c r="A30" s="0" t="s">
        <v>11</v>
      </c>
      <c r="B30" s="0" t="s">
        <v>75</v>
      </c>
      <c r="C30" s="0" t="s">
        <v>76</v>
      </c>
      <c r="D30" s="0" t="n">
        <v>2015</v>
      </c>
      <c r="E30" s="2" t="n">
        <v>7.33333333333333</v>
      </c>
      <c r="F30" s="2" t="n">
        <v>5.2</v>
      </c>
      <c r="G30" s="3" t="n">
        <f aca="false">E30-F30</f>
        <v>2.13333333333333</v>
      </c>
      <c r="H30" s="4" t="n">
        <f aca="false">G30/E30*100</f>
        <v>29.0909090909091</v>
      </c>
    </row>
    <row r="31" customFormat="false" ht="15" hidden="false" customHeight="false" outlineLevel="0" collapsed="false">
      <c r="A31" s="0" t="s">
        <v>35</v>
      </c>
      <c r="B31" s="0" t="s">
        <v>77</v>
      </c>
      <c r="C31" s="0" t="s">
        <v>78</v>
      </c>
      <c r="D31" s="0" t="n">
        <v>2024</v>
      </c>
      <c r="E31" s="2" t="n">
        <v>9.8</v>
      </c>
      <c r="F31" s="2" t="n">
        <v>7.7</v>
      </c>
      <c r="G31" s="3" t="n">
        <f aca="false">E31-F31</f>
        <v>2.1</v>
      </c>
      <c r="H31" s="4" t="n">
        <f aca="false">G31/E31*100</f>
        <v>21.4285714285714</v>
      </c>
    </row>
    <row r="32" customFormat="false" ht="15" hidden="false" customHeight="false" outlineLevel="0" collapsed="false">
      <c r="A32" s="0" t="s">
        <v>25</v>
      </c>
      <c r="B32" s="0" t="s">
        <v>79</v>
      </c>
      <c r="C32" s="0" t="s">
        <v>80</v>
      </c>
      <c r="D32" s="0" t="n">
        <v>2020</v>
      </c>
      <c r="E32" s="2" t="n">
        <v>7.9</v>
      </c>
      <c r="F32" s="2" t="n">
        <v>5.8</v>
      </c>
      <c r="G32" s="3" t="n">
        <f aca="false">E32-F32</f>
        <v>2.1</v>
      </c>
      <c r="H32" s="4" t="n">
        <f aca="false">G32/E32*100</f>
        <v>26.5822784810127</v>
      </c>
    </row>
    <row r="33" customFormat="false" ht="15" hidden="false" customHeight="false" outlineLevel="0" collapsed="false">
      <c r="A33" s="0" t="s">
        <v>81</v>
      </c>
      <c r="B33" s="0" t="s">
        <v>82</v>
      </c>
      <c r="C33" s="0" t="s">
        <v>83</v>
      </c>
      <c r="D33" s="0" t="n">
        <v>2015</v>
      </c>
      <c r="E33" s="2" t="n">
        <v>10.9</v>
      </c>
      <c r="F33" s="2" t="n">
        <v>8.9</v>
      </c>
      <c r="G33" s="3" t="n">
        <f aca="false">E33-F33</f>
        <v>2</v>
      </c>
      <c r="H33" s="4" t="n">
        <f aca="false">G33/E33*100</f>
        <v>18.348623853211</v>
      </c>
    </row>
    <row r="34" customFormat="false" ht="15" hidden="false" customHeight="false" outlineLevel="0" collapsed="false">
      <c r="A34" s="0" t="s">
        <v>11</v>
      </c>
      <c r="B34" s="0" t="s">
        <v>84</v>
      </c>
      <c r="C34" s="0" t="s">
        <v>85</v>
      </c>
      <c r="D34" s="0" t="n">
        <v>2023</v>
      </c>
      <c r="E34" s="2" t="n">
        <v>8.4</v>
      </c>
      <c r="F34" s="2" t="n">
        <v>6.4</v>
      </c>
      <c r="G34" s="3" t="n">
        <f aca="false">E34-F34</f>
        <v>2</v>
      </c>
      <c r="H34" s="4" t="n">
        <f aca="false">G34/E34*100</f>
        <v>23.8095238095238</v>
      </c>
    </row>
    <row r="35" customFormat="false" ht="15" hidden="false" customHeight="false" outlineLevel="0" collapsed="false">
      <c r="A35" s="0" t="s">
        <v>11</v>
      </c>
      <c r="B35" s="0" t="s">
        <v>86</v>
      </c>
      <c r="C35" s="0" t="s">
        <v>87</v>
      </c>
      <c r="D35" s="0" t="n">
        <v>2025</v>
      </c>
      <c r="E35" s="2" t="n">
        <v>7</v>
      </c>
      <c r="F35" s="2" t="n">
        <v>5</v>
      </c>
      <c r="G35" s="3" t="n">
        <f aca="false">E35-F35</f>
        <v>2</v>
      </c>
      <c r="H35" s="4" t="n">
        <f aca="false">G35/E35*100</f>
        <v>28.5714285714286</v>
      </c>
    </row>
    <row r="36" customFormat="false" ht="15" hidden="false" customHeight="false" outlineLevel="0" collapsed="false">
      <c r="A36" s="0" t="s">
        <v>81</v>
      </c>
      <c r="B36" s="0" t="s">
        <v>88</v>
      </c>
      <c r="C36" s="0" t="s">
        <v>89</v>
      </c>
      <c r="D36" s="0" t="n">
        <v>2016</v>
      </c>
      <c r="E36" s="2" t="n">
        <v>10.9</v>
      </c>
      <c r="F36" s="2" t="n">
        <v>8.9</v>
      </c>
      <c r="G36" s="3" t="n">
        <f aca="false">E36-F36</f>
        <v>2</v>
      </c>
      <c r="H36" s="4" t="n">
        <f aca="false">G36/E36*100</f>
        <v>18.348623853211</v>
      </c>
    </row>
    <row r="37" customFormat="false" ht="15" hidden="false" customHeight="false" outlineLevel="0" collapsed="false">
      <c r="A37" s="0" t="s">
        <v>8</v>
      </c>
      <c r="B37" s="0" t="s">
        <v>90</v>
      </c>
      <c r="C37" s="0" t="s">
        <v>91</v>
      </c>
      <c r="D37" s="0" t="n">
        <v>2015</v>
      </c>
      <c r="E37" s="2" t="n">
        <v>10.7</v>
      </c>
      <c r="F37" s="2" t="n">
        <v>8.7</v>
      </c>
      <c r="G37" s="3" t="n">
        <f aca="false">E37-F37</f>
        <v>2</v>
      </c>
      <c r="H37" s="4" t="n">
        <f aca="false">G37/E37*100</f>
        <v>18.6915887850467</v>
      </c>
    </row>
    <row r="38" customFormat="false" ht="15" hidden="false" customHeight="false" outlineLevel="0" collapsed="false">
      <c r="A38" s="0" t="s">
        <v>25</v>
      </c>
      <c r="B38" s="0" t="s">
        <v>92</v>
      </c>
      <c r="C38" s="0" t="s">
        <v>93</v>
      </c>
      <c r="D38" s="0" t="n">
        <v>2021</v>
      </c>
      <c r="E38" s="2" t="n">
        <v>11.25</v>
      </c>
      <c r="F38" s="2" t="n">
        <v>9.3</v>
      </c>
      <c r="G38" s="3" t="n">
        <f aca="false">E38-F38</f>
        <v>1.95</v>
      </c>
      <c r="H38" s="4" t="n">
        <f aca="false">G38/E38*100</f>
        <v>17.3333333333333</v>
      </c>
    </row>
    <row r="39" customFormat="false" ht="15" hidden="false" customHeight="false" outlineLevel="0" collapsed="false">
      <c r="A39" s="0" t="s">
        <v>11</v>
      </c>
      <c r="B39" s="0" t="s">
        <v>94</v>
      </c>
      <c r="C39" s="0" t="s">
        <v>95</v>
      </c>
      <c r="D39" s="0" t="n">
        <v>2025</v>
      </c>
      <c r="E39" s="2" t="n">
        <v>6.8</v>
      </c>
      <c r="F39" s="2" t="n">
        <v>4.9</v>
      </c>
      <c r="G39" s="3" t="n">
        <f aca="false">E39-F39</f>
        <v>1.9</v>
      </c>
      <c r="H39" s="4" t="n">
        <f aca="false">G39/E39*100</f>
        <v>27.9411764705882</v>
      </c>
    </row>
    <row r="40" customFormat="false" ht="15" hidden="false" customHeight="false" outlineLevel="0" collapsed="false">
      <c r="A40" s="0" t="s">
        <v>96</v>
      </c>
      <c r="B40" s="0" t="s">
        <v>97</v>
      </c>
      <c r="C40" s="0" t="s">
        <v>98</v>
      </c>
      <c r="D40" s="0" t="n">
        <v>2015</v>
      </c>
      <c r="E40" s="2" t="n">
        <v>10.7</v>
      </c>
      <c r="F40" s="2" t="n">
        <v>8.8</v>
      </c>
      <c r="G40" s="3" t="n">
        <f aca="false">E40-F40</f>
        <v>1.9</v>
      </c>
      <c r="H40" s="4" t="n">
        <f aca="false">G40/E40*100</f>
        <v>17.7570093457944</v>
      </c>
    </row>
    <row r="41" customFormat="false" ht="15" hidden="false" customHeight="false" outlineLevel="0" collapsed="false">
      <c r="A41" s="0" t="s">
        <v>20</v>
      </c>
      <c r="B41" s="0" t="s">
        <v>99</v>
      </c>
      <c r="C41" s="0" t="s">
        <v>100</v>
      </c>
      <c r="D41" s="0" t="n">
        <v>2022</v>
      </c>
      <c r="E41" s="2" t="n">
        <v>8.2</v>
      </c>
      <c r="F41" s="2" t="n">
        <v>6.4</v>
      </c>
      <c r="G41" s="3" t="n">
        <f aca="false">E41-F41</f>
        <v>1.8</v>
      </c>
      <c r="H41" s="4" t="n">
        <f aca="false">G41/E41*100</f>
        <v>21.9512195121951</v>
      </c>
    </row>
    <row r="42" customFormat="false" ht="15" hidden="false" customHeight="false" outlineLevel="0" collapsed="false">
      <c r="A42" s="0" t="s">
        <v>20</v>
      </c>
      <c r="B42" s="0" t="s">
        <v>101</v>
      </c>
      <c r="C42" s="0" t="s">
        <v>102</v>
      </c>
      <c r="D42" s="0" t="n">
        <v>2021</v>
      </c>
      <c r="E42" s="2" t="n">
        <v>9.1</v>
      </c>
      <c r="F42" s="2" t="n">
        <v>7.4</v>
      </c>
      <c r="G42" s="3" t="n">
        <f aca="false">E42-F42</f>
        <v>1.7</v>
      </c>
      <c r="H42" s="4" t="n">
        <f aca="false">G42/E42*100</f>
        <v>18.6813186813187</v>
      </c>
    </row>
    <row r="43" customFormat="false" ht="15" hidden="false" customHeight="false" outlineLevel="0" collapsed="false">
      <c r="A43" s="0" t="s">
        <v>17</v>
      </c>
      <c r="B43" s="0" t="s">
        <v>103</v>
      </c>
      <c r="C43" s="0" t="s">
        <v>104</v>
      </c>
      <c r="D43" s="0" t="n">
        <v>2024</v>
      </c>
      <c r="E43" s="2" t="n">
        <v>11.9</v>
      </c>
      <c r="F43" s="2" t="n">
        <v>10.3</v>
      </c>
      <c r="G43" s="3" t="n">
        <f aca="false">E43-F43</f>
        <v>1.6</v>
      </c>
      <c r="H43" s="4" t="n">
        <f aca="false">G43/E43*100</f>
        <v>13.4453781512605</v>
      </c>
    </row>
    <row r="44" customFormat="false" ht="15" hidden="false" customHeight="false" outlineLevel="0" collapsed="false">
      <c r="A44" s="0" t="s">
        <v>25</v>
      </c>
      <c r="B44" s="0" t="s">
        <v>105</v>
      </c>
      <c r="C44" s="0" t="s">
        <v>106</v>
      </c>
      <c r="D44" s="0" t="n">
        <v>2021</v>
      </c>
      <c r="E44" s="2" t="n">
        <v>11.4</v>
      </c>
      <c r="F44" s="2" t="n">
        <v>9.8</v>
      </c>
      <c r="G44" s="3" t="n">
        <f aca="false">E44-F44</f>
        <v>1.6</v>
      </c>
      <c r="H44" s="4" t="n">
        <f aca="false">G44/E44*100</f>
        <v>14.0350877192982</v>
      </c>
    </row>
    <row r="45" customFormat="false" ht="15" hidden="false" customHeight="false" outlineLevel="0" collapsed="false">
      <c r="A45" s="0" t="s">
        <v>25</v>
      </c>
      <c r="B45" s="0" t="s">
        <v>107</v>
      </c>
      <c r="C45" s="0" t="s">
        <v>108</v>
      </c>
      <c r="D45" s="0" t="n">
        <v>2020</v>
      </c>
      <c r="E45" s="2" t="n">
        <v>11.05</v>
      </c>
      <c r="F45" s="2" t="n">
        <v>9.6</v>
      </c>
      <c r="G45" s="3" t="n">
        <f aca="false">E45-F45</f>
        <v>1.45</v>
      </c>
      <c r="H45" s="4" t="n">
        <f aca="false">G45/E45*100</f>
        <v>13.1221719457014</v>
      </c>
    </row>
    <row r="46" customFormat="false" ht="15" hidden="false" customHeight="false" outlineLevel="0" collapsed="false">
      <c r="A46" s="0" t="s">
        <v>17</v>
      </c>
      <c r="B46" s="0" t="s">
        <v>109</v>
      </c>
      <c r="C46" s="0" t="s">
        <v>110</v>
      </c>
      <c r="D46" s="0" t="n">
        <v>2025</v>
      </c>
      <c r="E46" s="2" t="n">
        <v>11.2</v>
      </c>
      <c r="F46" s="2" t="n">
        <v>9.9</v>
      </c>
      <c r="G46" s="3" t="n">
        <f aca="false">E46-F46</f>
        <v>1.3</v>
      </c>
      <c r="H46" s="4" t="n">
        <f aca="false">G46/E46*100</f>
        <v>11.6071428571428</v>
      </c>
    </row>
    <row r="47" customFormat="false" ht="15" hidden="false" customHeight="false" outlineLevel="0" collapsed="false">
      <c r="A47" s="0" t="s">
        <v>111</v>
      </c>
      <c r="B47" s="0" t="s">
        <v>112</v>
      </c>
      <c r="C47" s="0" t="s">
        <v>113</v>
      </c>
      <c r="D47" s="0" t="n">
        <v>2015</v>
      </c>
      <c r="E47" s="2" t="n">
        <v>8.6</v>
      </c>
      <c r="F47" s="2" t="n">
        <v>7.5</v>
      </c>
      <c r="G47" s="3" t="n">
        <f aca="false">E47-F47</f>
        <v>1.1</v>
      </c>
      <c r="H47" s="4" t="n">
        <f aca="false">G47/E47*100</f>
        <v>12.7906976744186</v>
      </c>
    </row>
    <row r="48" customFormat="false" ht="15" hidden="false" customHeight="false" outlineLevel="0" collapsed="false">
      <c r="A48" s="0" t="s">
        <v>17</v>
      </c>
      <c r="B48" s="0" t="s">
        <v>114</v>
      </c>
      <c r="C48" s="0" t="s">
        <v>115</v>
      </c>
      <c r="D48" s="0" t="n">
        <v>2022</v>
      </c>
      <c r="E48" s="2" t="n">
        <v>12.4</v>
      </c>
      <c r="F48" s="2" t="n">
        <v>11.7</v>
      </c>
      <c r="G48" s="3" t="n">
        <f aca="false">E48-F48</f>
        <v>0.700000000000001</v>
      </c>
      <c r="H48" s="4" t="n">
        <f aca="false">G48/E48*100</f>
        <v>5.64516129032259</v>
      </c>
    </row>
    <row r="50" customFormat="false" ht="15" hidden="false" customHeight="false" outlineLevel="0" collapsed="false">
      <c r="A50" s="5" t="s">
        <v>116</v>
      </c>
      <c r="G50" s="6" t="n">
        <f aca="false">AVERAGE(G2:G48)</f>
        <v>2.49450354609929</v>
      </c>
      <c r="H50" s="7" t="n">
        <f aca="false">AVERAGE(H2:H48)</f>
        <v>26.8762760963244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117</v>
      </c>
      <c r="D1" s="1" t="s">
        <v>118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53</v>
      </c>
      <c r="B2" s="0" t="s">
        <v>54</v>
      </c>
      <c r="C2" s="0" t="s">
        <v>55</v>
      </c>
      <c r="D2" s="0" t="n">
        <v>2015</v>
      </c>
      <c r="E2" s="2" t="n">
        <v>8.8</v>
      </c>
      <c r="F2" s="2" t="n">
        <v>6.1</v>
      </c>
      <c r="G2" s="2" t="n">
        <f aca="false">E2-F2</f>
        <v>2.7</v>
      </c>
      <c r="H2" s="8" t="n">
        <f aca="false">G2/E2*100</f>
        <v>30.6818181818182</v>
      </c>
    </row>
    <row r="3" customFormat="false" ht="15" hidden="false" customHeight="false" outlineLevel="0" collapsed="false">
      <c r="A3" s="0" t="s">
        <v>53</v>
      </c>
      <c r="B3" s="0" t="s">
        <v>71</v>
      </c>
      <c r="C3" s="0" t="s">
        <v>72</v>
      </c>
      <c r="D3" s="0" t="n">
        <v>2015</v>
      </c>
      <c r="E3" s="2" t="n">
        <v>10</v>
      </c>
      <c r="F3" s="2" t="n">
        <v>7.7</v>
      </c>
      <c r="G3" s="2" t="n">
        <f aca="false">E3-F3</f>
        <v>2.3</v>
      </c>
      <c r="H3" s="8" t="n">
        <f aca="false">G3/E3*100</f>
        <v>23</v>
      </c>
    </row>
    <row r="4" customFormat="false" ht="15" hidden="false" customHeight="false" outlineLevel="0" collapsed="false">
      <c r="A4" s="0" t="s">
        <v>53</v>
      </c>
      <c r="B4" s="0" t="s">
        <v>71</v>
      </c>
      <c r="C4" s="0" t="s">
        <v>72</v>
      </c>
      <c r="D4" s="0" t="n">
        <v>2016</v>
      </c>
      <c r="E4" s="2" t="n">
        <v>10</v>
      </c>
      <c r="F4" s="2" t="n">
        <v>7.7</v>
      </c>
      <c r="G4" s="2" t="n">
        <f aca="false">E4-F4</f>
        <v>2.3</v>
      </c>
      <c r="H4" s="8" t="n">
        <f aca="false">G4/E4*100</f>
        <v>23</v>
      </c>
    </row>
    <row r="5" customFormat="false" ht="15" hidden="false" customHeight="false" outlineLevel="0" collapsed="false">
      <c r="A5" s="0" t="s">
        <v>81</v>
      </c>
      <c r="B5" s="0" t="s">
        <v>82</v>
      </c>
      <c r="C5" s="0" t="s">
        <v>83</v>
      </c>
      <c r="D5" s="0" t="n">
        <v>2015</v>
      </c>
      <c r="E5" s="2" t="n">
        <v>10.9</v>
      </c>
      <c r="F5" s="2" t="n">
        <v>8.9</v>
      </c>
      <c r="G5" s="2" t="n">
        <f aca="false">E5-F5</f>
        <v>2</v>
      </c>
      <c r="H5" s="8" t="n">
        <f aca="false">G5/E5*100</f>
        <v>18.348623853211</v>
      </c>
    </row>
    <row r="6" customFormat="false" ht="15" hidden="false" customHeight="false" outlineLevel="0" collapsed="false">
      <c r="A6" s="0" t="s">
        <v>81</v>
      </c>
      <c r="B6" s="0" t="s">
        <v>88</v>
      </c>
      <c r="C6" s="0" t="s">
        <v>89</v>
      </c>
      <c r="D6" s="0" t="n">
        <v>2016</v>
      </c>
      <c r="E6" s="2" t="n">
        <v>10.9</v>
      </c>
      <c r="F6" s="2" t="n">
        <v>8.9</v>
      </c>
      <c r="G6" s="2" t="n">
        <f aca="false">E6-F6</f>
        <v>2</v>
      </c>
      <c r="H6" s="8" t="n">
        <f aca="false">G6/E6*100</f>
        <v>18.348623853211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n">
        <v>2016</v>
      </c>
      <c r="E7" s="2" t="n">
        <v>8.3</v>
      </c>
      <c r="F7" s="2" t="n">
        <v>5.1</v>
      </c>
      <c r="G7" s="2" t="n">
        <f aca="false">E7-F7</f>
        <v>3.2</v>
      </c>
      <c r="H7" s="8" t="n">
        <f aca="false">G7/E7*100</f>
        <v>38.5542168674699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32</v>
      </c>
      <c r="D8" s="0" t="n">
        <v>2017</v>
      </c>
      <c r="E8" s="2" t="n">
        <v>8.45</v>
      </c>
      <c r="F8" s="2" t="n">
        <v>5.1</v>
      </c>
      <c r="G8" s="2" t="n">
        <f aca="false">E8-F8</f>
        <v>3.35</v>
      </c>
      <c r="H8" s="8" t="n">
        <f aca="false">G8/E8*100</f>
        <v>39.6449704142012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32</v>
      </c>
      <c r="D9" s="0" t="n">
        <v>2018</v>
      </c>
      <c r="E9" s="2" t="n">
        <v>8.45</v>
      </c>
      <c r="F9" s="2" t="n">
        <v>5.1</v>
      </c>
      <c r="G9" s="2" t="n">
        <f aca="false">E9-F9</f>
        <v>3.35</v>
      </c>
      <c r="H9" s="8" t="n">
        <f aca="false">G9/E9*100</f>
        <v>39.6449704142012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32</v>
      </c>
      <c r="D10" s="0" t="n">
        <v>2019</v>
      </c>
      <c r="E10" s="2" t="n">
        <v>8.3</v>
      </c>
      <c r="F10" s="2" t="n">
        <v>5.1</v>
      </c>
      <c r="G10" s="2" t="n">
        <f aca="false">E10-F10</f>
        <v>3.2</v>
      </c>
      <c r="H10" s="8" t="n">
        <f aca="false">G10/E10*100</f>
        <v>38.5542168674699</v>
      </c>
    </row>
    <row r="11" customFormat="false" ht="15" hidden="false" customHeight="false" outlineLevel="0" collapsed="false">
      <c r="A11" s="0" t="s">
        <v>25</v>
      </c>
      <c r="B11" s="0" t="s">
        <v>79</v>
      </c>
      <c r="C11" s="0" t="s">
        <v>80</v>
      </c>
      <c r="D11" s="0" t="n">
        <v>2020</v>
      </c>
      <c r="E11" s="2" t="n">
        <v>7.9</v>
      </c>
      <c r="F11" s="2" t="n">
        <v>5.8</v>
      </c>
      <c r="G11" s="2" t="n">
        <f aca="false">E11-F11</f>
        <v>2.1</v>
      </c>
      <c r="H11" s="8" t="n">
        <f aca="false">G11/E11*100</f>
        <v>26.5822784810127</v>
      </c>
    </row>
    <row r="12" customFormat="false" ht="15" hidden="false" customHeight="false" outlineLevel="0" collapsed="false">
      <c r="A12" s="0" t="s">
        <v>25</v>
      </c>
      <c r="B12" s="0" t="s">
        <v>79</v>
      </c>
      <c r="C12" s="0" t="s">
        <v>80</v>
      </c>
      <c r="D12" s="0" t="n">
        <v>2021</v>
      </c>
      <c r="E12" s="2" t="n">
        <v>7.8</v>
      </c>
      <c r="F12" s="2" t="n">
        <v>5.8</v>
      </c>
      <c r="G12" s="2" t="n">
        <f aca="false">E12-F12</f>
        <v>2</v>
      </c>
      <c r="H12" s="8" t="n">
        <f aca="false">G12/E12*100</f>
        <v>25.6410256410256</v>
      </c>
    </row>
    <row r="13" customFormat="false" ht="15" hidden="false" customHeight="false" outlineLevel="0" collapsed="false">
      <c r="A13" s="0" t="s">
        <v>25</v>
      </c>
      <c r="B13" s="0" t="s">
        <v>79</v>
      </c>
      <c r="C13" s="0" t="s">
        <v>80</v>
      </c>
      <c r="D13" s="0" t="n">
        <v>2022</v>
      </c>
      <c r="E13" s="2" t="n">
        <v>7.8</v>
      </c>
      <c r="F13" s="2" t="n">
        <v>5.8</v>
      </c>
      <c r="G13" s="2" t="n">
        <f aca="false">E13-F13</f>
        <v>2</v>
      </c>
      <c r="H13" s="8" t="n">
        <f aca="false">G13/E13*100</f>
        <v>25.6410256410256</v>
      </c>
    </row>
    <row r="14" customFormat="false" ht="15" hidden="false" customHeight="false" outlineLevel="0" collapsed="false">
      <c r="A14" s="0" t="s">
        <v>25</v>
      </c>
      <c r="B14" s="0" t="s">
        <v>79</v>
      </c>
      <c r="C14" s="0" t="s">
        <v>80</v>
      </c>
      <c r="D14" s="0" t="n">
        <v>2023</v>
      </c>
      <c r="E14" s="2" t="n">
        <v>8</v>
      </c>
      <c r="F14" s="2" t="n">
        <v>6</v>
      </c>
      <c r="G14" s="2" t="n">
        <f aca="false">E14-F14</f>
        <v>2</v>
      </c>
      <c r="H14" s="8" t="n">
        <f aca="false">G14/E14*100</f>
        <v>25</v>
      </c>
    </row>
    <row r="15" customFormat="false" ht="15" hidden="false" customHeight="false" outlineLevel="0" collapsed="false">
      <c r="A15" s="0" t="s">
        <v>25</v>
      </c>
      <c r="B15" s="0" t="s">
        <v>79</v>
      </c>
      <c r="C15" s="0" t="s">
        <v>80</v>
      </c>
      <c r="D15" s="0" t="n">
        <v>2024</v>
      </c>
      <c r="E15" s="2" t="n">
        <v>8</v>
      </c>
      <c r="F15" s="2" t="n">
        <v>6</v>
      </c>
      <c r="G15" s="2" t="n">
        <f aca="false">E15-F15</f>
        <v>2</v>
      </c>
      <c r="H15" s="8" t="n">
        <f aca="false">G15/E15*100</f>
        <v>25</v>
      </c>
    </row>
    <row r="16" customFormat="false" ht="15" hidden="false" customHeight="false" outlineLevel="0" collapsed="false">
      <c r="A16" s="0" t="s">
        <v>25</v>
      </c>
      <c r="B16" s="0" t="s">
        <v>79</v>
      </c>
      <c r="C16" s="0" t="s">
        <v>80</v>
      </c>
      <c r="D16" s="0" t="n">
        <v>2025</v>
      </c>
      <c r="E16" s="2" t="n">
        <v>8</v>
      </c>
      <c r="F16" s="2" t="n">
        <v>6</v>
      </c>
      <c r="G16" s="2" t="n">
        <f aca="false">E16-F16</f>
        <v>2</v>
      </c>
      <c r="H16" s="8" t="n">
        <f aca="false">G16/E16*100</f>
        <v>25</v>
      </c>
    </row>
    <row r="17" customFormat="false" ht="15" hidden="false" customHeight="false" outlineLevel="0" collapsed="false">
      <c r="A17" s="0" t="s">
        <v>25</v>
      </c>
      <c r="B17" s="0" t="s">
        <v>51</v>
      </c>
      <c r="C17" s="0" t="s">
        <v>52</v>
      </c>
      <c r="D17" s="0" t="n">
        <v>2020</v>
      </c>
      <c r="E17" s="2" t="n">
        <v>8.7</v>
      </c>
      <c r="F17" s="2" t="n">
        <v>5.9</v>
      </c>
      <c r="G17" s="2" t="n">
        <f aca="false">E17-F17</f>
        <v>2.8</v>
      </c>
      <c r="H17" s="8" t="n">
        <f aca="false">G17/E17*100</f>
        <v>32.183908045977</v>
      </c>
    </row>
    <row r="18" customFormat="false" ht="15" hidden="false" customHeight="false" outlineLevel="0" collapsed="false">
      <c r="A18" s="0" t="s">
        <v>25</v>
      </c>
      <c r="B18" s="0" t="s">
        <v>51</v>
      </c>
      <c r="C18" s="0" t="s">
        <v>52</v>
      </c>
      <c r="D18" s="0" t="n">
        <v>2021</v>
      </c>
      <c r="E18" s="2" t="n">
        <v>8.75</v>
      </c>
      <c r="F18" s="2" t="n">
        <v>5.9</v>
      </c>
      <c r="G18" s="2" t="n">
        <f aca="false">E18-F18</f>
        <v>2.85</v>
      </c>
      <c r="H18" s="8" t="n">
        <f aca="false">G18/E18*100</f>
        <v>32.5714285714286</v>
      </c>
    </row>
    <row r="19" customFormat="false" ht="15" hidden="false" customHeight="false" outlineLevel="0" collapsed="false">
      <c r="A19" s="0" t="s">
        <v>25</v>
      </c>
      <c r="B19" s="0" t="s">
        <v>51</v>
      </c>
      <c r="C19" s="0" t="s">
        <v>52</v>
      </c>
      <c r="D19" s="0" t="n">
        <v>2022</v>
      </c>
      <c r="E19" s="2" t="n">
        <v>8.8</v>
      </c>
      <c r="F19" s="2" t="n">
        <v>5.9</v>
      </c>
      <c r="G19" s="2" t="n">
        <f aca="false">E19-F19</f>
        <v>2.9</v>
      </c>
      <c r="H19" s="8" t="n">
        <f aca="false">G19/E19*100</f>
        <v>32.9545454545455</v>
      </c>
    </row>
    <row r="20" customFormat="false" ht="15" hidden="false" customHeight="false" outlineLevel="0" collapsed="false">
      <c r="A20" s="0" t="s">
        <v>25</v>
      </c>
      <c r="B20" s="0" t="s">
        <v>51</v>
      </c>
      <c r="C20" s="0" t="s">
        <v>52</v>
      </c>
      <c r="D20" s="0" t="n">
        <v>2023</v>
      </c>
      <c r="E20" s="2" t="n">
        <v>8.75</v>
      </c>
      <c r="F20" s="2" t="n">
        <v>6</v>
      </c>
      <c r="G20" s="2" t="n">
        <f aca="false">E20-F20</f>
        <v>2.75</v>
      </c>
      <c r="H20" s="8" t="n">
        <f aca="false">G20/E20*100</f>
        <v>31.4285714285714</v>
      </c>
    </row>
    <row r="21" customFormat="false" ht="15" hidden="false" customHeight="false" outlineLevel="0" collapsed="false">
      <c r="A21" s="0" t="s">
        <v>25</v>
      </c>
      <c r="B21" s="0" t="s">
        <v>51</v>
      </c>
      <c r="C21" s="0" t="s">
        <v>52</v>
      </c>
      <c r="D21" s="0" t="n">
        <v>2024</v>
      </c>
      <c r="E21" s="2" t="n">
        <v>8.75</v>
      </c>
      <c r="F21" s="2" t="n">
        <v>6</v>
      </c>
      <c r="G21" s="2" t="n">
        <f aca="false">E21-F21</f>
        <v>2.75</v>
      </c>
      <c r="H21" s="8" t="n">
        <f aca="false">G21/E21*100</f>
        <v>31.4285714285714</v>
      </c>
    </row>
    <row r="22" customFormat="false" ht="15" hidden="false" customHeight="false" outlineLevel="0" collapsed="false">
      <c r="A22" s="0" t="s">
        <v>25</v>
      </c>
      <c r="B22" s="0" t="s">
        <v>51</v>
      </c>
      <c r="C22" s="0" t="s">
        <v>52</v>
      </c>
      <c r="D22" s="0" t="n">
        <v>2025</v>
      </c>
      <c r="E22" s="2" t="n">
        <v>8.75</v>
      </c>
      <c r="F22" s="2" t="n">
        <v>6</v>
      </c>
      <c r="G22" s="2" t="n">
        <f aca="false">E22-F22</f>
        <v>2.75</v>
      </c>
      <c r="H22" s="8" t="n">
        <f aca="false">G22/E22*100</f>
        <v>31.4285714285714</v>
      </c>
    </row>
    <row r="23" customFormat="false" ht="15" hidden="false" customHeight="false" outlineLevel="0" collapsed="false">
      <c r="A23" s="0" t="s">
        <v>25</v>
      </c>
      <c r="B23" s="0" t="s">
        <v>107</v>
      </c>
      <c r="C23" s="0" t="s">
        <v>108</v>
      </c>
      <c r="D23" s="0" t="n">
        <v>2020</v>
      </c>
      <c r="E23" s="2" t="n">
        <v>11.05</v>
      </c>
      <c r="F23" s="2" t="n">
        <v>9.6</v>
      </c>
      <c r="G23" s="2" t="n">
        <f aca="false">E23-F23</f>
        <v>1.45</v>
      </c>
      <c r="H23" s="8" t="n">
        <f aca="false">G23/E23*100</f>
        <v>13.1221719457014</v>
      </c>
    </row>
    <row r="24" customFormat="false" ht="15" hidden="false" customHeight="false" outlineLevel="0" collapsed="false">
      <c r="A24" s="0" t="s">
        <v>25</v>
      </c>
      <c r="B24" s="0" t="s">
        <v>107</v>
      </c>
      <c r="C24" s="0" t="s">
        <v>108</v>
      </c>
      <c r="D24" s="0" t="n">
        <v>2021</v>
      </c>
      <c r="E24" s="2" t="n">
        <v>10.8</v>
      </c>
      <c r="F24" s="2" t="n">
        <v>9.6</v>
      </c>
      <c r="G24" s="2" t="n">
        <f aca="false">E24-F24</f>
        <v>1.2</v>
      </c>
      <c r="H24" s="8" t="n">
        <f aca="false">G24/E24*100</f>
        <v>11.1111111111111</v>
      </c>
    </row>
    <row r="25" customFormat="false" ht="15" hidden="false" customHeight="false" outlineLevel="0" collapsed="false">
      <c r="A25" s="0" t="s">
        <v>25</v>
      </c>
      <c r="B25" s="0" t="s">
        <v>107</v>
      </c>
      <c r="C25" s="0" t="s">
        <v>108</v>
      </c>
      <c r="D25" s="0" t="n">
        <v>2022</v>
      </c>
      <c r="E25" s="2" t="n">
        <v>11.3</v>
      </c>
      <c r="F25" s="2" t="n">
        <v>9.6</v>
      </c>
      <c r="G25" s="2" t="n">
        <f aca="false">E25-F25</f>
        <v>1.7</v>
      </c>
      <c r="H25" s="8" t="n">
        <f aca="false">G25/E25*100</f>
        <v>15.0442477876106</v>
      </c>
    </row>
    <row r="26" customFormat="false" ht="15" hidden="false" customHeight="false" outlineLevel="0" collapsed="false">
      <c r="A26" s="0" t="s">
        <v>25</v>
      </c>
      <c r="B26" s="0" t="s">
        <v>107</v>
      </c>
      <c r="C26" s="0" t="s">
        <v>108</v>
      </c>
      <c r="D26" s="0" t="n">
        <v>2023</v>
      </c>
      <c r="E26" s="2" t="n">
        <v>11.3</v>
      </c>
      <c r="F26" s="2" t="n">
        <v>9.6</v>
      </c>
      <c r="G26" s="2" t="n">
        <f aca="false">E26-F26</f>
        <v>1.7</v>
      </c>
      <c r="H26" s="8" t="n">
        <f aca="false">G26/E26*100</f>
        <v>15.0442477876106</v>
      </c>
    </row>
    <row r="27" customFormat="false" ht="15" hidden="false" customHeight="false" outlineLevel="0" collapsed="false">
      <c r="A27" s="0" t="s">
        <v>25</v>
      </c>
      <c r="B27" s="0" t="s">
        <v>92</v>
      </c>
      <c r="C27" s="0" t="s">
        <v>93</v>
      </c>
      <c r="D27" s="0" t="n">
        <v>2021</v>
      </c>
      <c r="E27" s="2" t="n">
        <v>11.25</v>
      </c>
      <c r="F27" s="2" t="n">
        <v>9.3</v>
      </c>
      <c r="G27" s="2" t="n">
        <f aca="false">E27-F27</f>
        <v>1.95</v>
      </c>
      <c r="H27" s="8" t="n">
        <f aca="false">G27/E27*100</f>
        <v>17.3333333333333</v>
      </c>
    </row>
    <row r="28" customFormat="false" ht="15" hidden="false" customHeight="false" outlineLevel="0" collapsed="false">
      <c r="A28" s="0" t="s">
        <v>25</v>
      </c>
      <c r="B28" s="0" t="s">
        <v>92</v>
      </c>
      <c r="C28" s="0" t="s">
        <v>93</v>
      </c>
      <c r="D28" s="0" t="n">
        <v>2022</v>
      </c>
      <c r="E28" s="2" t="n">
        <v>11.3</v>
      </c>
      <c r="F28" s="2" t="n">
        <v>9.7</v>
      </c>
      <c r="G28" s="2" t="n">
        <f aca="false">E28-F28</f>
        <v>1.6</v>
      </c>
      <c r="H28" s="8" t="n">
        <f aca="false">G28/E28*100</f>
        <v>14.1592920353982</v>
      </c>
    </row>
    <row r="29" customFormat="false" ht="15" hidden="false" customHeight="false" outlineLevel="0" collapsed="false">
      <c r="A29" s="0" t="s">
        <v>25</v>
      </c>
      <c r="B29" s="0" t="s">
        <v>92</v>
      </c>
      <c r="C29" s="0" t="s">
        <v>93</v>
      </c>
      <c r="D29" s="0" t="n">
        <v>2023</v>
      </c>
      <c r="E29" s="2" t="n">
        <v>11.35</v>
      </c>
      <c r="F29" s="2" t="n">
        <v>10.1</v>
      </c>
      <c r="G29" s="2" t="n">
        <f aca="false">E29-F29</f>
        <v>1.25</v>
      </c>
      <c r="H29" s="8" t="n">
        <f aca="false">G29/E29*100</f>
        <v>11.0132158590308</v>
      </c>
    </row>
    <row r="30" customFormat="false" ht="15" hidden="false" customHeight="false" outlineLevel="0" collapsed="false">
      <c r="A30" s="0" t="s">
        <v>25</v>
      </c>
      <c r="B30" s="0" t="s">
        <v>105</v>
      </c>
      <c r="C30" s="0" t="s">
        <v>106</v>
      </c>
      <c r="D30" s="0" t="n">
        <v>2021</v>
      </c>
      <c r="E30" s="2" t="n">
        <v>11.4</v>
      </c>
      <c r="F30" s="2" t="n">
        <v>9.8</v>
      </c>
      <c r="G30" s="2" t="n">
        <f aca="false">E30-F30</f>
        <v>1.6</v>
      </c>
      <c r="H30" s="8" t="n">
        <f aca="false">G30/E30*100</f>
        <v>14.0350877192982</v>
      </c>
    </row>
    <row r="31" customFormat="false" ht="15" hidden="false" customHeight="false" outlineLevel="0" collapsed="false">
      <c r="A31" s="0" t="s">
        <v>25</v>
      </c>
      <c r="B31" s="0" t="s">
        <v>105</v>
      </c>
      <c r="C31" s="0" t="s">
        <v>106</v>
      </c>
      <c r="D31" s="0" t="n">
        <v>2022</v>
      </c>
      <c r="E31" s="2" t="n">
        <v>11.9</v>
      </c>
      <c r="F31" s="2" t="n">
        <v>10.2</v>
      </c>
      <c r="G31" s="2" t="n">
        <f aca="false">E31-F31</f>
        <v>1.7</v>
      </c>
      <c r="H31" s="8" t="n">
        <f aca="false">G31/E31*100</f>
        <v>14.2857142857143</v>
      </c>
    </row>
    <row r="32" customFormat="false" ht="15" hidden="false" customHeight="false" outlineLevel="0" collapsed="false">
      <c r="A32" s="0" t="s">
        <v>25</v>
      </c>
      <c r="B32" s="0" t="s">
        <v>105</v>
      </c>
      <c r="C32" s="0" t="s">
        <v>106</v>
      </c>
      <c r="D32" s="0" t="n">
        <v>2023</v>
      </c>
      <c r="E32" s="2" t="n">
        <v>11.8</v>
      </c>
      <c r="F32" s="2" t="n">
        <v>10.4</v>
      </c>
      <c r="G32" s="2" t="n">
        <f aca="false">E32-F32</f>
        <v>1.4</v>
      </c>
      <c r="H32" s="8" t="n">
        <f aca="false">G32/E32*100</f>
        <v>11.864406779661</v>
      </c>
    </row>
    <row r="33" customFormat="false" ht="15" hidden="false" customHeight="false" outlineLevel="0" collapsed="false">
      <c r="A33" s="0" t="s">
        <v>25</v>
      </c>
      <c r="B33" s="0" t="s">
        <v>105</v>
      </c>
      <c r="C33" s="0" t="s">
        <v>106</v>
      </c>
      <c r="D33" s="0" t="n">
        <v>2024</v>
      </c>
      <c r="E33" s="2" t="n">
        <v>12.3</v>
      </c>
      <c r="F33" s="2" t="n">
        <v>10.8</v>
      </c>
      <c r="G33" s="2" t="n">
        <f aca="false">E33-F33</f>
        <v>1.5</v>
      </c>
      <c r="H33" s="8" t="n">
        <f aca="false">G33/E33*100</f>
        <v>12.1951219512195</v>
      </c>
    </row>
    <row r="34" customFormat="false" ht="15" hidden="false" customHeight="false" outlineLevel="0" collapsed="false">
      <c r="A34" s="0" t="s">
        <v>25</v>
      </c>
      <c r="B34" s="0" t="s">
        <v>105</v>
      </c>
      <c r="C34" s="0" t="s">
        <v>106</v>
      </c>
      <c r="D34" s="0" t="n">
        <v>2025</v>
      </c>
      <c r="E34" s="2" t="n">
        <v>12.3333333333333</v>
      </c>
      <c r="F34" s="2" t="n">
        <v>10.7</v>
      </c>
      <c r="G34" s="2" t="n">
        <f aca="false">E34-F34</f>
        <v>1.63333333333333</v>
      </c>
      <c r="H34" s="8" t="n">
        <f aca="false">G34/E34*100</f>
        <v>13.2432432432432</v>
      </c>
    </row>
    <row r="35" customFormat="false" ht="15" hidden="false" customHeight="false" outlineLevel="0" collapsed="false">
      <c r="A35" s="0" t="s">
        <v>25</v>
      </c>
      <c r="B35" s="0" t="s">
        <v>26</v>
      </c>
      <c r="C35" s="0" t="s">
        <v>27</v>
      </c>
      <c r="D35" s="0" t="n">
        <v>2015</v>
      </c>
      <c r="E35" s="2" t="n">
        <v>8.73333333333333</v>
      </c>
      <c r="F35" s="2" t="n">
        <v>5.5</v>
      </c>
      <c r="G35" s="2" t="n">
        <f aca="false">E35-F35</f>
        <v>3.23333333333333</v>
      </c>
      <c r="H35" s="8" t="n">
        <f aca="false">G35/E35*100</f>
        <v>37.0229007633588</v>
      </c>
    </row>
    <row r="36" customFormat="false" ht="15" hidden="false" customHeight="false" outlineLevel="0" collapsed="false">
      <c r="A36" s="0" t="s">
        <v>25</v>
      </c>
      <c r="B36" s="0" t="s">
        <v>26</v>
      </c>
      <c r="C36" s="0" t="s">
        <v>27</v>
      </c>
      <c r="D36" s="0" t="n">
        <v>2016</v>
      </c>
      <c r="E36" s="2" t="n">
        <v>8.73333333333333</v>
      </c>
      <c r="F36" s="2" t="n">
        <v>5.5</v>
      </c>
      <c r="G36" s="2" t="n">
        <f aca="false">E36-F36</f>
        <v>3.23333333333333</v>
      </c>
      <c r="H36" s="8" t="n">
        <f aca="false">G36/E36*100</f>
        <v>37.0229007633588</v>
      </c>
    </row>
    <row r="37" customFormat="false" ht="15" hidden="false" customHeight="false" outlineLevel="0" collapsed="false">
      <c r="A37" s="0" t="s">
        <v>25</v>
      </c>
      <c r="B37" s="0" t="s">
        <v>26</v>
      </c>
      <c r="C37" s="0" t="s">
        <v>27</v>
      </c>
      <c r="D37" s="0" t="n">
        <v>2017</v>
      </c>
      <c r="E37" s="2" t="n">
        <v>9.3</v>
      </c>
      <c r="F37" s="2" t="n">
        <v>5.6</v>
      </c>
      <c r="G37" s="2" t="n">
        <f aca="false">E37-F37</f>
        <v>3.7</v>
      </c>
      <c r="H37" s="8" t="n">
        <f aca="false">G37/E37*100</f>
        <v>39.7849462365591</v>
      </c>
    </row>
    <row r="38" customFormat="false" ht="15" hidden="false" customHeight="false" outlineLevel="0" collapsed="false">
      <c r="A38" s="0" t="s">
        <v>25</v>
      </c>
      <c r="B38" s="0" t="s">
        <v>26</v>
      </c>
      <c r="C38" s="0" t="s">
        <v>27</v>
      </c>
      <c r="D38" s="0" t="n">
        <v>2018</v>
      </c>
      <c r="E38" s="2" t="n">
        <v>9.26666666666667</v>
      </c>
      <c r="F38" s="2" t="n">
        <v>5.6</v>
      </c>
      <c r="G38" s="2" t="n">
        <f aca="false">E38-F38</f>
        <v>3.66666666666667</v>
      </c>
      <c r="H38" s="8" t="n">
        <f aca="false">G38/E38*100</f>
        <v>39.568345323741</v>
      </c>
    </row>
    <row r="39" customFormat="false" ht="15" hidden="false" customHeight="false" outlineLevel="0" collapsed="false">
      <c r="A39" s="0" t="s">
        <v>25</v>
      </c>
      <c r="B39" s="0" t="s">
        <v>26</v>
      </c>
      <c r="C39" s="0" t="s">
        <v>27</v>
      </c>
      <c r="D39" s="0" t="n">
        <v>2019</v>
      </c>
      <c r="E39" s="2" t="n">
        <v>8.7</v>
      </c>
      <c r="F39" s="2" t="n">
        <v>5.6</v>
      </c>
      <c r="G39" s="2" t="n">
        <f aca="false">E39-F39</f>
        <v>3.1</v>
      </c>
      <c r="H39" s="8" t="n">
        <f aca="false">G39/E39*100</f>
        <v>35.632183908046</v>
      </c>
    </row>
    <row r="40" customFormat="false" ht="15" hidden="false" customHeight="false" outlineLevel="0" collapsed="false">
      <c r="A40" s="0" t="s">
        <v>25</v>
      </c>
      <c r="B40" s="0" t="s">
        <v>26</v>
      </c>
      <c r="C40" s="0" t="s">
        <v>27</v>
      </c>
      <c r="D40" s="0" t="n">
        <v>2020</v>
      </c>
      <c r="E40" s="2" t="n">
        <v>8.7</v>
      </c>
      <c r="F40" s="2" t="n">
        <v>5.6</v>
      </c>
      <c r="G40" s="2" t="n">
        <f aca="false">E40-F40</f>
        <v>3.1</v>
      </c>
      <c r="H40" s="8" t="n">
        <f aca="false">G40/E40*100</f>
        <v>35.632183908046</v>
      </c>
    </row>
    <row r="41" customFormat="false" ht="15" hidden="false" customHeight="false" outlineLevel="0" collapsed="false">
      <c r="A41" s="0" t="s">
        <v>25</v>
      </c>
      <c r="B41" s="0" t="s">
        <v>33</v>
      </c>
      <c r="C41" s="0" t="s">
        <v>34</v>
      </c>
      <c r="D41" s="0" t="n">
        <v>2025</v>
      </c>
      <c r="E41" s="2" t="n">
        <v>9.4</v>
      </c>
      <c r="F41" s="2" t="n">
        <v>6.3</v>
      </c>
      <c r="G41" s="2" t="n">
        <f aca="false">E41-F41</f>
        <v>3.1</v>
      </c>
      <c r="H41" s="8" t="n">
        <f aca="false">G41/E41*100</f>
        <v>32.9787234042553</v>
      </c>
    </row>
    <row r="42" customFormat="false" ht="15" hidden="false" customHeight="false" outlineLevel="0" collapsed="false">
      <c r="A42" s="0" t="s">
        <v>11</v>
      </c>
      <c r="B42" s="0" t="s">
        <v>12</v>
      </c>
      <c r="C42" s="0" t="s">
        <v>13</v>
      </c>
      <c r="D42" s="0" t="n">
        <v>2015</v>
      </c>
      <c r="E42" s="2" t="n">
        <v>9</v>
      </c>
      <c r="F42" s="2" t="n">
        <v>5</v>
      </c>
      <c r="G42" s="2" t="n">
        <f aca="false">E42-F42</f>
        <v>4</v>
      </c>
      <c r="H42" s="8" t="n">
        <f aca="false">G42/E42*100</f>
        <v>44.4444444444444</v>
      </c>
    </row>
    <row r="43" customFormat="false" ht="15" hidden="false" customHeight="false" outlineLevel="0" collapsed="false">
      <c r="A43" s="0" t="s">
        <v>11</v>
      </c>
      <c r="B43" s="0" t="s">
        <v>12</v>
      </c>
      <c r="C43" s="0" t="s">
        <v>13</v>
      </c>
      <c r="D43" s="0" t="n">
        <v>2017</v>
      </c>
      <c r="E43" s="2" t="n">
        <v>8.6</v>
      </c>
      <c r="F43" s="2" t="n">
        <v>5</v>
      </c>
      <c r="G43" s="2" t="n">
        <f aca="false">E43-F43</f>
        <v>3.6</v>
      </c>
      <c r="H43" s="8" t="n">
        <f aca="false">G43/E43*100</f>
        <v>41.8604651162791</v>
      </c>
    </row>
    <row r="44" customFormat="false" ht="15" hidden="false" customHeight="false" outlineLevel="0" collapsed="false">
      <c r="A44" s="0" t="s">
        <v>11</v>
      </c>
      <c r="B44" s="0" t="s">
        <v>12</v>
      </c>
      <c r="C44" s="0" t="s">
        <v>13</v>
      </c>
      <c r="D44" s="0" t="n">
        <v>2018</v>
      </c>
      <c r="E44" s="2" t="n">
        <v>7.975</v>
      </c>
      <c r="F44" s="2" t="n">
        <v>5.1</v>
      </c>
      <c r="G44" s="2" t="n">
        <f aca="false">E44-F44</f>
        <v>2.875</v>
      </c>
      <c r="H44" s="8" t="n">
        <f aca="false">G44/E44*100</f>
        <v>36.0501567398119</v>
      </c>
    </row>
    <row r="45" customFormat="false" ht="15" hidden="false" customHeight="false" outlineLevel="0" collapsed="false">
      <c r="A45" s="0" t="s">
        <v>11</v>
      </c>
      <c r="B45" s="0" t="s">
        <v>12</v>
      </c>
      <c r="C45" s="0" t="s">
        <v>13</v>
      </c>
      <c r="D45" s="0" t="n">
        <v>2019</v>
      </c>
      <c r="E45" s="2" t="n">
        <v>7.975</v>
      </c>
      <c r="F45" s="2" t="n">
        <v>5</v>
      </c>
      <c r="G45" s="2" t="n">
        <f aca="false">E45-F45</f>
        <v>2.975</v>
      </c>
      <c r="H45" s="8" t="n">
        <f aca="false">G45/E45*100</f>
        <v>37.3040752351097</v>
      </c>
    </row>
    <row r="46" customFormat="false" ht="15" hidden="false" customHeight="false" outlineLevel="0" collapsed="false">
      <c r="A46" s="0" t="s">
        <v>11</v>
      </c>
      <c r="B46" s="0" t="s">
        <v>12</v>
      </c>
      <c r="C46" s="0" t="s">
        <v>13</v>
      </c>
      <c r="D46" s="0" t="n">
        <v>2020</v>
      </c>
      <c r="E46" s="2" t="n">
        <v>7.975</v>
      </c>
      <c r="F46" s="2" t="n">
        <v>5</v>
      </c>
      <c r="G46" s="2" t="n">
        <f aca="false">E46-F46</f>
        <v>2.975</v>
      </c>
      <c r="H46" s="8" t="n">
        <f aca="false">G46/E46*100</f>
        <v>37.3040752351097</v>
      </c>
    </row>
    <row r="47" customFormat="false" ht="15" hidden="false" customHeight="false" outlineLevel="0" collapsed="false">
      <c r="A47" s="0" t="s">
        <v>11</v>
      </c>
      <c r="B47" s="0" t="s">
        <v>12</v>
      </c>
      <c r="C47" s="0" t="s">
        <v>13</v>
      </c>
      <c r="D47" s="0" t="n">
        <v>2021</v>
      </c>
      <c r="E47" s="2" t="n">
        <v>7.2</v>
      </c>
      <c r="F47" s="2" t="n">
        <v>5</v>
      </c>
      <c r="G47" s="2" t="n">
        <f aca="false">E47-F47</f>
        <v>2.2</v>
      </c>
      <c r="H47" s="8" t="n">
        <f aca="false">G47/E47*100</f>
        <v>30.5555555555556</v>
      </c>
    </row>
    <row r="48" customFormat="false" ht="15" hidden="false" customHeight="false" outlineLevel="0" collapsed="false">
      <c r="A48" s="0" t="s">
        <v>11</v>
      </c>
      <c r="B48" s="0" t="s">
        <v>12</v>
      </c>
      <c r="C48" s="0" t="s">
        <v>13</v>
      </c>
      <c r="D48" s="0" t="n">
        <v>2022</v>
      </c>
      <c r="E48" s="2" t="n">
        <v>7.2</v>
      </c>
      <c r="F48" s="2" t="n">
        <v>5</v>
      </c>
      <c r="G48" s="2" t="n">
        <f aca="false">E48-F48</f>
        <v>2.2</v>
      </c>
      <c r="H48" s="8" t="n">
        <f aca="false">G48/E48*100</f>
        <v>30.5555555555556</v>
      </c>
    </row>
    <row r="49" customFormat="false" ht="15" hidden="false" customHeight="false" outlineLevel="0" collapsed="false">
      <c r="A49" s="0" t="s">
        <v>11</v>
      </c>
      <c r="B49" s="0" t="s">
        <v>47</v>
      </c>
      <c r="C49" s="0" t="s">
        <v>48</v>
      </c>
      <c r="D49" s="0" t="n">
        <v>2021</v>
      </c>
      <c r="E49" s="2" t="n">
        <v>8.3</v>
      </c>
      <c r="F49" s="2" t="n">
        <v>5.5</v>
      </c>
      <c r="G49" s="2" t="n">
        <f aca="false">E49-F49</f>
        <v>2.8</v>
      </c>
      <c r="H49" s="8" t="n">
        <f aca="false">G49/E49*100</f>
        <v>33.7349397590361</v>
      </c>
    </row>
    <row r="50" customFormat="false" ht="15" hidden="false" customHeight="false" outlineLevel="0" collapsed="false">
      <c r="A50" s="0" t="s">
        <v>11</v>
      </c>
      <c r="B50" s="0" t="s">
        <v>47</v>
      </c>
      <c r="C50" s="0" t="s">
        <v>48</v>
      </c>
      <c r="D50" s="0" t="n">
        <v>2022</v>
      </c>
      <c r="E50" s="2" t="n">
        <v>8.3</v>
      </c>
      <c r="F50" s="2" t="n">
        <v>5.5</v>
      </c>
      <c r="G50" s="2" t="n">
        <f aca="false">E50-F50</f>
        <v>2.8</v>
      </c>
      <c r="H50" s="8" t="n">
        <f aca="false">G50/E50*100</f>
        <v>33.7349397590361</v>
      </c>
    </row>
    <row r="51" customFormat="false" ht="15" hidden="false" customHeight="false" outlineLevel="0" collapsed="false">
      <c r="A51" s="0" t="s">
        <v>11</v>
      </c>
      <c r="B51" s="0" t="s">
        <v>75</v>
      </c>
      <c r="C51" s="0" t="s">
        <v>76</v>
      </c>
      <c r="D51" s="0" t="n">
        <v>2015</v>
      </c>
      <c r="E51" s="2" t="n">
        <v>7.33333333333333</v>
      </c>
      <c r="F51" s="2" t="n">
        <v>5.2</v>
      </c>
      <c r="G51" s="2" t="n">
        <f aca="false">E51-F51</f>
        <v>2.13333333333333</v>
      </c>
      <c r="H51" s="8" t="n">
        <f aca="false">G51/E51*100</f>
        <v>29.0909090909091</v>
      </c>
    </row>
    <row r="52" customFormat="false" ht="15" hidden="false" customHeight="false" outlineLevel="0" collapsed="false">
      <c r="A52" s="0" t="s">
        <v>11</v>
      </c>
      <c r="B52" s="0" t="s">
        <v>86</v>
      </c>
      <c r="C52" s="0" t="s">
        <v>87</v>
      </c>
      <c r="D52" s="0" t="n">
        <v>2025</v>
      </c>
      <c r="E52" s="2" t="n">
        <v>7</v>
      </c>
      <c r="F52" s="2" t="n">
        <v>5</v>
      </c>
      <c r="G52" s="2" t="n">
        <f aca="false">E52-F52</f>
        <v>2</v>
      </c>
      <c r="H52" s="8" t="n">
        <f aca="false">G52/E52*100</f>
        <v>28.5714285714286</v>
      </c>
    </row>
    <row r="53" customFormat="false" ht="15" hidden="false" customHeight="false" outlineLevel="0" collapsed="false">
      <c r="A53" s="0" t="s">
        <v>11</v>
      </c>
      <c r="B53" s="0" t="s">
        <v>94</v>
      </c>
      <c r="C53" s="0" t="s">
        <v>95</v>
      </c>
      <c r="D53" s="0" t="n">
        <v>2025</v>
      </c>
      <c r="E53" s="2" t="n">
        <v>6.8</v>
      </c>
      <c r="F53" s="2" t="n">
        <v>4.9</v>
      </c>
      <c r="G53" s="2" t="n">
        <f aca="false">E53-F53</f>
        <v>1.9</v>
      </c>
      <c r="H53" s="8" t="n">
        <f aca="false">G53/E53*100</f>
        <v>27.9411764705882</v>
      </c>
    </row>
    <row r="54" customFormat="false" ht="15" hidden="false" customHeight="false" outlineLevel="0" collapsed="false">
      <c r="A54" s="0" t="s">
        <v>11</v>
      </c>
      <c r="B54" s="0" t="s">
        <v>84</v>
      </c>
      <c r="C54" s="0" t="s">
        <v>85</v>
      </c>
      <c r="D54" s="0" t="n">
        <v>2023</v>
      </c>
      <c r="E54" s="2" t="n">
        <v>8.4</v>
      </c>
      <c r="F54" s="2" t="n">
        <v>6.4</v>
      </c>
      <c r="G54" s="2" t="n">
        <f aca="false">E54-F54</f>
        <v>2</v>
      </c>
      <c r="H54" s="8" t="n">
        <f aca="false">G54/E54*100</f>
        <v>23.8095238095238</v>
      </c>
    </row>
    <row r="55" customFormat="false" ht="15" hidden="false" customHeight="false" outlineLevel="0" collapsed="false">
      <c r="A55" s="0" t="s">
        <v>11</v>
      </c>
      <c r="B55" s="0" t="s">
        <v>84</v>
      </c>
      <c r="C55" s="0" t="s">
        <v>85</v>
      </c>
      <c r="D55" s="0" t="n">
        <v>2024</v>
      </c>
      <c r="E55" s="2" t="n">
        <v>8.4</v>
      </c>
      <c r="F55" s="2" t="n">
        <v>6.4</v>
      </c>
      <c r="G55" s="2" t="n">
        <f aca="false">E55-F55</f>
        <v>2</v>
      </c>
      <c r="H55" s="8" t="n">
        <f aca="false">G55/E55*100</f>
        <v>23.8095238095238</v>
      </c>
    </row>
    <row r="56" customFormat="false" ht="15" hidden="false" customHeight="false" outlineLevel="0" collapsed="false">
      <c r="A56" s="0" t="s">
        <v>11</v>
      </c>
      <c r="B56" s="0" t="s">
        <v>84</v>
      </c>
      <c r="C56" s="0" t="s">
        <v>85</v>
      </c>
      <c r="D56" s="0" t="n">
        <v>2025</v>
      </c>
      <c r="E56" s="2" t="n">
        <v>8.4</v>
      </c>
      <c r="F56" s="2" t="n">
        <v>6.4</v>
      </c>
      <c r="G56" s="2" t="n">
        <f aca="false">E56-F56</f>
        <v>2</v>
      </c>
      <c r="H56" s="8" t="n">
        <f aca="false">G56/E56*100</f>
        <v>23.8095238095238</v>
      </c>
    </row>
    <row r="57" customFormat="false" ht="15" hidden="false" customHeight="false" outlineLevel="0" collapsed="false">
      <c r="A57" s="0" t="s">
        <v>20</v>
      </c>
      <c r="B57" s="0" t="s">
        <v>65</v>
      </c>
      <c r="C57" s="0" t="s">
        <v>66</v>
      </c>
      <c r="D57" s="0" t="n">
        <v>2023</v>
      </c>
      <c r="E57" s="2" t="n">
        <v>7.15</v>
      </c>
      <c r="F57" s="2" t="n">
        <v>4.7</v>
      </c>
      <c r="G57" s="2" t="n">
        <f aca="false">E57-F57</f>
        <v>2.45</v>
      </c>
      <c r="H57" s="8" t="n">
        <f aca="false">G57/E57*100</f>
        <v>34.2657342657343</v>
      </c>
    </row>
    <row r="58" customFormat="false" ht="15" hidden="false" customHeight="false" outlineLevel="0" collapsed="false">
      <c r="A58" s="0" t="s">
        <v>20</v>
      </c>
      <c r="B58" s="0" t="s">
        <v>65</v>
      </c>
      <c r="C58" s="0" t="s">
        <v>66</v>
      </c>
      <c r="D58" s="0" t="n">
        <v>2024</v>
      </c>
      <c r="E58" s="2" t="n">
        <v>7.2</v>
      </c>
      <c r="F58" s="2" t="n">
        <v>4.7</v>
      </c>
      <c r="G58" s="2" t="n">
        <f aca="false">E58-F58</f>
        <v>2.5</v>
      </c>
      <c r="H58" s="8" t="n">
        <f aca="false">G58/E58*100</f>
        <v>34.7222222222222</v>
      </c>
    </row>
    <row r="59" customFormat="false" ht="15" hidden="false" customHeight="false" outlineLevel="0" collapsed="false">
      <c r="A59" s="0" t="s">
        <v>20</v>
      </c>
      <c r="B59" s="0" t="s">
        <v>65</v>
      </c>
      <c r="C59" s="0" t="s">
        <v>66</v>
      </c>
      <c r="D59" s="0" t="n">
        <v>2025</v>
      </c>
      <c r="E59" s="2" t="n">
        <v>7.25</v>
      </c>
      <c r="F59" s="2" t="n">
        <v>4.7</v>
      </c>
      <c r="G59" s="2" t="n">
        <f aca="false">E59-F59</f>
        <v>2.55</v>
      </c>
      <c r="H59" s="8" t="n">
        <f aca="false">G59/E59*100</f>
        <v>35.1724137931034</v>
      </c>
    </row>
    <row r="60" customFormat="false" ht="15" hidden="false" customHeight="false" outlineLevel="0" collapsed="false">
      <c r="A60" s="0" t="s">
        <v>20</v>
      </c>
      <c r="B60" s="0" t="s">
        <v>101</v>
      </c>
      <c r="C60" s="0" t="s">
        <v>102</v>
      </c>
      <c r="D60" s="0" t="n">
        <v>2021</v>
      </c>
      <c r="E60" s="2" t="n">
        <v>9.1</v>
      </c>
      <c r="F60" s="2" t="n">
        <v>7.4</v>
      </c>
      <c r="G60" s="2" t="n">
        <f aca="false">E60-F60</f>
        <v>1.7</v>
      </c>
      <c r="H60" s="8" t="n">
        <f aca="false">G60/E60*100</f>
        <v>18.6813186813187</v>
      </c>
    </row>
    <row r="61" customFormat="false" ht="15" hidden="false" customHeight="false" outlineLevel="0" collapsed="false">
      <c r="A61" s="0" t="s">
        <v>20</v>
      </c>
      <c r="B61" s="0" t="s">
        <v>21</v>
      </c>
      <c r="C61" s="0" t="s">
        <v>22</v>
      </c>
      <c r="D61" s="0" t="n">
        <v>2024</v>
      </c>
      <c r="E61" s="2" t="n">
        <v>10.6</v>
      </c>
      <c r="F61" s="2" t="n">
        <v>6.9</v>
      </c>
      <c r="G61" s="2" t="n">
        <f aca="false">E61-F61</f>
        <v>3.7</v>
      </c>
      <c r="H61" s="8" t="n">
        <f aca="false">G61/E61*100</f>
        <v>34.9056603773585</v>
      </c>
    </row>
    <row r="62" customFormat="false" ht="15" hidden="false" customHeight="false" outlineLevel="0" collapsed="false">
      <c r="A62" s="0" t="s">
        <v>20</v>
      </c>
      <c r="B62" s="0" t="s">
        <v>21</v>
      </c>
      <c r="C62" s="0" t="s">
        <v>22</v>
      </c>
      <c r="D62" s="0" t="n">
        <v>2025</v>
      </c>
      <c r="E62" s="2" t="n">
        <v>10.6</v>
      </c>
      <c r="F62" s="2" t="n">
        <v>6.9</v>
      </c>
      <c r="G62" s="2" t="n">
        <f aca="false">E62-F62</f>
        <v>3.7</v>
      </c>
      <c r="H62" s="8" t="n">
        <f aca="false">G62/E62*100</f>
        <v>34.9056603773585</v>
      </c>
    </row>
    <row r="63" customFormat="false" ht="15" hidden="false" customHeight="false" outlineLevel="0" collapsed="false">
      <c r="A63" s="0" t="s">
        <v>20</v>
      </c>
      <c r="B63" s="0" t="s">
        <v>67</v>
      </c>
      <c r="C63" s="0" t="s">
        <v>68</v>
      </c>
      <c r="D63" s="0" t="n">
        <v>2015</v>
      </c>
      <c r="E63" s="2" t="n">
        <v>8.75</v>
      </c>
      <c r="F63" s="2" t="n">
        <v>6.3</v>
      </c>
      <c r="G63" s="2" t="n">
        <f aca="false">E63-F63</f>
        <v>2.45</v>
      </c>
      <c r="H63" s="8" t="n">
        <f aca="false">G63/E63*100</f>
        <v>28</v>
      </c>
    </row>
    <row r="64" customFormat="false" ht="15" hidden="false" customHeight="false" outlineLevel="0" collapsed="false">
      <c r="A64" s="0" t="s">
        <v>20</v>
      </c>
      <c r="B64" s="0" t="s">
        <v>67</v>
      </c>
      <c r="C64" s="0" t="s">
        <v>68</v>
      </c>
      <c r="D64" s="0" t="n">
        <v>2016</v>
      </c>
      <c r="E64" s="2" t="n">
        <v>8.6</v>
      </c>
      <c r="F64" s="2" t="n">
        <v>5.6</v>
      </c>
      <c r="G64" s="2" t="n">
        <f aca="false">E64-F64</f>
        <v>3</v>
      </c>
      <c r="H64" s="8" t="n">
        <f aca="false">G64/E64*100</f>
        <v>34.8837209302326</v>
      </c>
    </row>
    <row r="65" customFormat="false" ht="15" hidden="false" customHeight="false" outlineLevel="0" collapsed="false">
      <c r="A65" s="0" t="s">
        <v>20</v>
      </c>
      <c r="B65" s="0" t="s">
        <v>67</v>
      </c>
      <c r="C65" s="0" t="s">
        <v>68</v>
      </c>
      <c r="D65" s="0" t="n">
        <v>2017</v>
      </c>
      <c r="E65" s="2" t="n">
        <v>8.7</v>
      </c>
      <c r="F65" s="2" t="n">
        <v>6</v>
      </c>
      <c r="G65" s="2" t="n">
        <f aca="false">E65-F65</f>
        <v>2.7</v>
      </c>
      <c r="H65" s="8" t="n">
        <f aca="false">G65/E65*100</f>
        <v>31.0344827586207</v>
      </c>
    </row>
    <row r="66" customFormat="false" ht="15" hidden="false" customHeight="false" outlineLevel="0" collapsed="false">
      <c r="A66" s="0" t="s">
        <v>20</v>
      </c>
      <c r="B66" s="0" t="s">
        <v>67</v>
      </c>
      <c r="C66" s="0" t="s">
        <v>68</v>
      </c>
      <c r="D66" s="0" t="n">
        <v>2018</v>
      </c>
      <c r="E66" s="2" t="n">
        <v>8.8</v>
      </c>
      <c r="F66" s="2" t="n">
        <v>5.7</v>
      </c>
      <c r="G66" s="2" t="n">
        <f aca="false">E66-F66</f>
        <v>3.1</v>
      </c>
      <c r="H66" s="8" t="n">
        <f aca="false">G66/E66*100</f>
        <v>35.2272727272727</v>
      </c>
    </row>
    <row r="67" customFormat="false" ht="15" hidden="false" customHeight="false" outlineLevel="0" collapsed="false">
      <c r="A67" s="0" t="s">
        <v>20</v>
      </c>
      <c r="B67" s="0" t="s">
        <v>67</v>
      </c>
      <c r="C67" s="0" t="s">
        <v>68</v>
      </c>
      <c r="D67" s="0" t="n">
        <v>2019</v>
      </c>
      <c r="E67" s="2" t="n">
        <v>8.7</v>
      </c>
      <c r="F67" s="2" t="n">
        <v>5.7</v>
      </c>
      <c r="G67" s="2" t="n">
        <f aca="false">E67-F67</f>
        <v>3</v>
      </c>
      <c r="H67" s="8" t="n">
        <f aca="false">G67/E67*100</f>
        <v>34.4827586206896</v>
      </c>
    </row>
    <row r="68" customFormat="false" ht="15" hidden="false" customHeight="false" outlineLevel="0" collapsed="false">
      <c r="A68" s="0" t="s">
        <v>20</v>
      </c>
      <c r="B68" s="0" t="s">
        <v>67</v>
      </c>
      <c r="C68" s="0" t="s">
        <v>68</v>
      </c>
      <c r="D68" s="0" t="n">
        <v>2020</v>
      </c>
      <c r="E68" s="2" t="n">
        <v>7.7</v>
      </c>
      <c r="F68" s="2" t="n">
        <v>5</v>
      </c>
      <c r="G68" s="2" t="n">
        <f aca="false">E68-F68</f>
        <v>2.7</v>
      </c>
      <c r="H68" s="8" t="n">
        <f aca="false">G68/E68*100</f>
        <v>35.0649350649351</v>
      </c>
    </row>
    <row r="69" customFormat="false" ht="15" hidden="false" customHeight="false" outlineLevel="0" collapsed="false">
      <c r="A69" s="0" t="s">
        <v>20</v>
      </c>
      <c r="B69" s="0" t="s">
        <v>67</v>
      </c>
      <c r="C69" s="0" t="s">
        <v>68</v>
      </c>
      <c r="D69" s="0" t="n">
        <v>2021</v>
      </c>
      <c r="E69" s="2" t="n">
        <v>8.06666666666667</v>
      </c>
      <c r="F69" s="2" t="n">
        <v>5</v>
      </c>
      <c r="G69" s="2" t="n">
        <f aca="false">E69-F69</f>
        <v>3.06666666666667</v>
      </c>
      <c r="H69" s="8" t="n">
        <f aca="false">G69/E69*100</f>
        <v>38.0165289256198</v>
      </c>
    </row>
    <row r="70" customFormat="false" ht="15" hidden="false" customHeight="false" outlineLevel="0" collapsed="false">
      <c r="A70" s="0" t="s">
        <v>20</v>
      </c>
      <c r="B70" s="0" t="s">
        <v>67</v>
      </c>
      <c r="C70" s="0" t="s">
        <v>68</v>
      </c>
      <c r="D70" s="0" t="n">
        <v>2022</v>
      </c>
      <c r="E70" s="2" t="n">
        <v>8.06666666666667</v>
      </c>
      <c r="F70" s="2" t="n">
        <v>5</v>
      </c>
      <c r="G70" s="2" t="n">
        <f aca="false">E70-F70</f>
        <v>3.06666666666667</v>
      </c>
      <c r="H70" s="8" t="n">
        <f aca="false">G70/E70*100</f>
        <v>38.0165289256198</v>
      </c>
    </row>
    <row r="71" customFormat="false" ht="15" hidden="false" customHeight="false" outlineLevel="0" collapsed="false">
      <c r="A71" s="0" t="s">
        <v>20</v>
      </c>
      <c r="B71" s="0" t="s">
        <v>67</v>
      </c>
      <c r="C71" s="0" t="s">
        <v>68</v>
      </c>
      <c r="D71" s="0" t="n">
        <v>2023</v>
      </c>
      <c r="E71" s="2" t="n">
        <v>8.13333333333334</v>
      </c>
      <c r="F71" s="2" t="n">
        <v>5</v>
      </c>
      <c r="G71" s="2" t="n">
        <f aca="false">E71-F71</f>
        <v>3.13333333333333</v>
      </c>
      <c r="H71" s="8" t="n">
        <f aca="false">G71/E71*100</f>
        <v>38.5245901639344</v>
      </c>
    </row>
    <row r="72" customFormat="false" ht="15" hidden="false" customHeight="false" outlineLevel="0" collapsed="false">
      <c r="A72" s="0" t="s">
        <v>20</v>
      </c>
      <c r="B72" s="0" t="s">
        <v>67</v>
      </c>
      <c r="C72" s="0" t="s">
        <v>68</v>
      </c>
      <c r="D72" s="0" t="n">
        <v>2024</v>
      </c>
      <c r="E72" s="2" t="n">
        <v>8.5</v>
      </c>
      <c r="F72" s="2" t="n">
        <v>5</v>
      </c>
      <c r="G72" s="2" t="n">
        <f aca="false">E72-F72</f>
        <v>3.5</v>
      </c>
      <c r="H72" s="8" t="n">
        <f aca="false">G72/E72*100</f>
        <v>41.1764705882353</v>
      </c>
    </row>
    <row r="73" customFormat="false" ht="15" hidden="false" customHeight="false" outlineLevel="0" collapsed="false">
      <c r="A73" s="0" t="s">
        <v>20</v>
      </c>
      <c r="B73" s="0" t="s">
        <v>67</v>
      </c>
      <c r="C73" s="0" t="s">
        <v>68</v>
      </c>
      <c r="D73" s="0" t="n">
        <v>2025</v>
      </c>
      <c r="E73" s="2" t="n">
        <v>8.5</v>
      </c>
      <c r="F73" s="2" t="n">
        <v>5</v>
      </c>
      <c r="G73" s="2" t="n">
        <f aca="false">E73-F73</f>
        <v>3.5</v>
      </c>
      <c r="H73" s="8" t="n">
        <f aca="false">G73/E73*100</f>
        <v>41.1764705882353</v>
      </c>
    </row>
    <row r="74" customFormat="false" ht="15" hidden="false" customHeight="false" outlineLevel="0" collapsed="false">
      <c r="A74" s="0" t="s">
        <v>20</v>
      </c>
      <c r="B74" s="0" t="s">
        <v>63</v>
      </c>
      <c r="C74" s="0" t="s">
        <v>64</v>
      </c>
      <c r="D74" s="0" t="n">
        <v>2019</v>
      </c>
      <c r="E74" s="2" t="n">
        <v>8.1</v>
      </c>
      <c r="F74" s="2" t="n">
        <v>5.6</v>
      </c>
      <c r="G74" s="2" t="n">
        <f aca="false">E74-F74</f>
        <v>2.5</v>
      </c>
      <c r="H74" s="8" t="n">
        <f aca="false">G74/E74*100</f>
        <v>30.8641975308642</v>
      </c>
    </row>
    <row r="75" customFormat="false" ht="15" hidden="false" customHeight="false" outlineLevel="0" collapsed="false">
      <c r="A75" s="0" t="s">
        <v>20</v>
      </c>
      <c r="B75" s="0" t="s">
        <v>99</v>
      </c>
      <c r="C75" s="0" t="s">
        <v>100</v>
      </c>
      <c r="D75" s="0" t="n">
        <v>2022</v>
      </c>
      <c r="E75" s="2" t="n">
        <v>8.2</v>
      </c>
      <c r="F75" s="2" t="n">
        <v>6.4</v>
      </c>
      <c r="G75" s="2" t="n">
        <f aca="false">E75-F75</f>
        <v>1.8</v>
      </c>
      <c r="H75" s="8" t="n">
        <f aca="false">G75/E75*100</f>
        <v>21.9512195121951</v>
      </c>
    </row>
    <row r="76" customFormat="false" ht="15" hidden="false" customHeight="false" outlineLevel="0" collapsed="false">
      <c r="A76" s="0" t="s">
        <v>20</v>
      </c>
      <c r="B76" s="0" t="s">
        <v>99</v>
      </c>
      <c r="C76" s="0" t="s">
        <v>100</v>
      </c>
      <c r="D76" s="0" t="n">
        <v>2023</v>
      </c>
      <c r="E76" s="2" t="n">
        <v>8.5</v>
      </c>
      <c r="F76" s="2" t="n">
        <v>6.4</v>
      </c>
      <c r="G76" s="2" t="n">
        <f aca="false">E76-F76</f>
        <v>2.1</v>
      </c>
      <c r="H76" s="8" t="n">
        <f aca="false">G76/E76*100</f>
        <v>24.7058823529412</v>
      </c>
    </row>
    <row r="77" customFormat="false" ht="15" hidden="false" customHeight="false" outlineLevel="0" collapsed="false">
      <c r="A77" s="0" t="s">
        <v>8</v>
      </c>
      <c r="B77" s="0" t="s">
        <v>49</v>
      </c>
      <c r="C77" s="0" t="s">
        <v>50</v>
      </c>
      <c r="D77" s="0" t="n">
        <v>2015</v>
      </c>
      <c r="E77" s="2" t="n">
        <v>10.3</v>
      </c>
      <c r="F77" s="2" t="n">
        <v>7.5</v>
      </c>
      <c r="G77" s="2" t="n">
        <f aca="false">E77-F77</f>
        <v>2.8</v>
      </c>
      <c r="H77" s="8" t="n">
        <f aca="false">G77/E77*100</f>
        <v>27.1844660194175</v>
      </c>
    </row>
    <row r="78" customFormat="false" ht="15" hidden="false" customHeight="false" outlineLevel="0" collapsed="false">
      <c r="A78" s="0" t="s">
        <v>8</v>
      </c>
      <c r="B78" s="0" t="s">
        <v>49</v>
      </c>
      <c r="C78" s="0" t="s">
        <v>50</v>
      </c>
      <c r="D78" s="0" t="n">
        <v>2016</v>
      </c>
      <c r="E78" s="2" t="n">
        <v>9.7</v>
      </c>
      <c r="F78" s="2" t="n">
        <v>7.7</v>
      </c>
      <c r="G78" s="2" t="n">
        <f aca="false">E78-F78</f>
        <v>2</v>
      </c>
      <c r="H78" s="8" t="n">
        <f aca="false">G78/E78*100</f>
        <v>20.6185567010309</v>
      </c>
    </row>
    <row r="79" customFormat="false" ht="15" hidden="false" customHeight="false" outlineLevel="0" collapsed="false">
      <c r="A79" s="0" t="s">
        <v>8</v>
      </c>
      <c r="B79" s="0" t="s">
        <v>59</v>
      </c>
      <c r="C79" s="0" t="s">
        <v>60</v>
      </c>
      <c r="D79" s="0" t="n">
        <v>2015</v>
      </c>
      <c r="E79" s="2" t="n">
        <v>10.8</v>
      </c>
      <c r="F79" s="2" t="n">
        <v>8.2</v>
      </c>
      <c r="G79" s="2" t="n">
        <f aca="false">E79-F79</f>
        <v>2.6</v>
      </c>
      <c r="H79" s="8" t="n">
        <f aca="false">G79/E79*100</f>
        <v>24.0740740740741</v>
      </c>
    </row>
    <row r="80" customFormat="false" ht="15" hidden="false" customHeight="false" outlineLevel="0" collapsed="false">
      <c r="A80" s="0" t="s">
        <v>8</v>
      </c>
      <c r="B80" s="0" t="s">
        <v>59</v>
      </c>
      <c r="C80" s="0" t="s">
        <v>60</v>
      </c>
      <c r="D80" s="0" t="n">
        <v>2016</v>
      </c>
      <c r="E80" s="2" t="n">
        <v>10.1</v>
      </c>
      <c r="F80" s="2" t="n">
        <v>8.2</v>
      </c>
      <c r="G80" s="2" t="n">
        <f aca="false">E80-F80</f>
        <v>1.9</v>
      </c>
      <c r="H80" s="8" t="n">
        <f aca="false">G80/E80*100</f>
        <v>18.8118811881188</v>
      </c>
    </row>
    <row r="81" customFormat="false" ht="15" hidden="false" customHeight="false" outlineLevel="0" collapsed="false">
      <c r="A81" s="0" t="s">
        <v>8</v>
      </c>
      <c r="B81" s="0" t="s">
        <v>59</v>
      </c>
      <c r="C81" s="0" t="s">
        <v>60</v>
      </c>
      <c r="D81" s="0" t="n">
        <v>2017</v>
      </c>
      <c r="E81" s="2" t="n">
        <v>10.25</v>
      </c>
      <c r="F81" s="2" t="n">
        <v>8.5</v>
      </c>
      <c r="G81" s="2" t="n">
        <f aca="false">E81-F81</f>
        <v>1.75</v>
      </c>
      <c r="H81" s="8" t="n">
        <f aca="false">G81/E81*100</f>
        <v>17.0731707317073</v>
      </c>
    </row>
    <row r="82" customFormat="false" ht="15" hidden="false" customHeight="false" outlineLevel="0" collapsed="false">
      <c r="A82" s="0" t="s">
        <v>8</v>
      </c>
      <c r="B82" s="0" t="s">
        <v>59</v>
      </c>
      <c r="C82" s="0" t="s">
        <v>60</v>
      </c>
      <c r="D82" s="0" t="n">
        <v>2018</v>
      </c>
      <c r="E82" s="2" t="n">
        <v>10.25</v>
      </c>
      <c r="F82" s="2" t="n">
        <v>8.5</v>
      </c>
      <c r="G82" s="2" t="n">
        <f aca="false">E82-F82</f>
        <v>1.75</v>
      </c>
      <c r="H82" s="8" t="n">
        <f aca="false">G82/E82*100</f>
        <v>17.0731707317073</v>
      </c>
    </row>
    <row r="83" customFormat="false" ht="15" hidden="false" customHeight="false" outlineLevel="0" collapsed="false">
      <c r="A83" s="0" t="s">
        <v>8</v>
      </c>
      <c r="B83" s="0" t="s">
        <v>9</v>
      </c>
      <c r="C83" s="0" t="s">
        <v>10</v>
      </c>
      <c r="D83" s="0" t="n">
        <v>2015</v>
      </c>
      <c r="E83" s="2" t="n">
        <v>11.7</v>
      </c>
      <c r="F83" s="2" t="n">
        <v>7.5</v>
      </c>
      <c r="G83" s="2" t="n">
        <f aca="false">E83-F83</f>
        <v>4.2</v>
      </c>
      <c r="H83" s="8" t="n">
        <f aca="false">G83/E83*100</f>
        <v>35.8974358974359</v>
      </c>
    </row>
    <row r="84" customFormat="false" ht="15" hidden="false" customHeight="false" outlineLevel="0" collapsed="false">
      <c r="A84" s="0" t="s">
        <v>8</v>
      </c>
      <c r="B84" s="0" t="s">
        <v>90</v>
      </c>
      <c r="C84" s="0" t="s">
        <v>91</v>
      </c>
      <c r="D84" s="0" t="n">
        <v>2015</v>
      </c>
      <c r="E84" s="2" t="n">
        <v>10.7</v>
      </c>
      <c r="F84" s="2" t="n">
        <v>8.7</v>
      </c>
      <c r="G84" s="2" t="n">
        <f aca="false">E84-F84</f>
        <v>2</v>
      </c>
      <c r="H84" s="8" t="n">
        <f aca="false">G84/E84*100</f>
        <v>18.6915887850467</v>
      </c>
    </row>
    <row r="85" customFormat="false" ht="15" hidden="false" customHeight="false" outlineLevel="0" collapsed="false">
      <c r="A85" s="0" t="s">
        <v>8</v>
      </c>
      <c r="B85" s="0" t="s">
        <v>90</v>
      </c>
      <c r="C85" s="0" t="s">
        <v>91</v>
      </c>
      <c r="D85" s="0" t="n">
        <v>2016</v>
      </c>
      <c r="E85" s="2" t="n">
        <v>10.7</v>
      </c>
      <c r="F85" s="2" t="n">
        <v>8.7</v>
      </c>
      <c r="G85" s="2" t="n">
        <f aca="false">E85-F85</f>
        <v>2</v>
      </c>
      <c r="H85" s="8" t="n">
        <f aca="false">G85/E85*100</f>
        <v>18.6915887850467</v>
      </c>
    </row>
    <row r="86" customFormat="false" ht="15" hidden="false" customHeight="false" outlineLevel="0" collapsed="false">
      <c r="A86" s="0" t="s">
        <v>8</v>
      </c>
      <c r="B86" s="0" t="s">
        <v>90</v>
      </c>
      <c r="C86" s="0" t="s">
        <v>91</v>
      </c>
      <c r="D86" s="0" t="n">
        <v>2017</v>
      </c>
      <c r="E86" s="2" t="n">
        <v>10.9</v>
      </c>
      <c r="F86" s="2" t="n">
        <v>9.1</v>
      </c>
      <c r="G86" s="2" t="n">
        <f aca="false">E86-F86</f>
        <v>1.8</v>
      </c>
      <c r="H86" s="8" t="n">
        <f aca="false">G86/E86*100</f>
        <v>16.5137614678899</v>
      </c>
    </row>
    <row r="87" customFormat="false" ht="15" hidden="false" customHeight="false" outlineLevel="0" collapsed="false">
      <c r="A87" s="0" t="s">
        <v>14</v>
      </c>
      <c r="B87" s="0" t="s">
        <v>15</v>
      </c>
      <c r="C87" s="0" t="s">
        <v>16</v>
      </c>
      <c r="D87" s="0" t="n">
        <v>2025</v>
      </c>
      <c r="E87" s="2" t="n">
        <v>11.1</v>
      </c>
      <c r="F87" s="2" t="n">
        <v>7.2</v>
      </c>
      <c r="G87" s="2" t="n">
        <f aca="false">E87-F87</f>
        <v>3.9</v>
      </c>
      <c r="H87" s="8" t="n">
        <f aca="false">G87/E87*100</f>
        <v>35.1351351351351</v>
      </c>
    </row>
    <row r="88" customFormat="false" ht="15" hidden="false" customHeight="false" outlineLevel="0" collapsed="false">
      <c r="A88" s="0" t="s">
        <v>14</v>
      </c>
      <c r="B88" s="0" t="s">
        <v>40</v>
      </c>
      <c r="C88" s="0" t="s">
        <v>41</v>
      </c>
      <c r="D88" s="0" t="n">
        <v>2015</v>
      </c>
      <c r="E88" s="2" t="n">
        <v>9.3</v>
      </c>
      <c r="F88" s="2" t="n">
        <v>6.3</v>
      </c>
      <c r="G88" s="2" t="n">
        <f aca="false">E88-F88</f>
        <v>3</v>
      </c>
      <c r="H88" s="8" t="n">
        <f aca="false">G88/E88*100</f>
        <v>32.258064516129</v>
      </c>
    </row>
    <row r="89" customFormat="false" ht="15" hidden="false" customHeight="false" outlineLevel="0" collapsed="false">
      <c r="A89" s="0" t="s">
        <v>14</v>
      </c>
      <c r="B89" s="0" t="s">
        <v>40</v>
      </c>
      <c r="C89" s="0" t="s">
        <v>41</v>
      </c>
      <c r="D89" s="0" t="n">
        <v>2016</v>
      </c>
      <c r="E89" s="2" t="n">
        <v>8.26666666666667</v>
      </c>
      <c r="F89" s="2" t="n">
        <v>6.3</v>
      </c>
      <c r="G89" s="2" t="n">
        <f aca="false">E89-F89</f>
        <v>1.96666666666667</v>
      </c>
      <c r="H89" s="8" t="n">
        <f aca="false">G89/E89*100</f>
        <v>23.7903225806452</v>
      </c>
    </row>
    <row r="90" customFormat="false" ht="15" hidden="false" customHeight="false" outlineLevel="0" collapsed="false">
      <c r="A90" s="0" t="s">
        <v>14</v>
      </c>
      <c r="B90" s="0" t="s">
        <v>40</v>
      </c>
      <c r="C90" s="0" t="s">
        <v>41</v>
      </c>
      <c r="D90" s="0" t="n">
        <v>2017</v>
      </c>
      <c r="E90" s="2" t="n">
        <v>8.4</v>
      </c>
      <c r="F90" s="2" t="n">
        <v>5.6</v>
      </c>
      <c r="G90" s="2" t="n">
        <f aca="false">E90-F90</f>
        <v>2.8</v>
      </c>
      <c r="H90" s="8" t="n">
        <f aca="false">G90/E90*100</f>
        <v>33.3333333333333</v>
      </c>
    </row>
    <row r="91" customFormat="false" ht="15" hidden="false" customHeight="false" outlineLevel="0" collapsed="false">
      <c r="A91" s="0" t="s">
        <v>14</v>
      </c>
      <c r="B91" s="0" t="s">
        <v>40</v>
      </c>
      <c r="C91" s="0" t="s">
        <v>41</v>
      </c>
      <c r="D91" s="0" t="n">
        <v>2018</v>
      </c>
      <c r="E91" s="2" t="n">
        <v>8.9</v>
      </c>
      <c r="F91" s="2" t="n">
        <v>5.6</v>
      </c>
      <c r="G91" s="2" t="n">
        <f aca="false">E91-F91</f>
        <v>3.3</v>
      </c>
      <c r="H91" s="8" t="n">
        <f aca="false">G91/E91*100</f>
        <v>37.0786516853933</v>
      </c>
    </row>
    <row r="92" customFormat="false" ht="15" hidden="false" customHeight="false" outlineLevel="0" collapsed="false">
      <c r="A92" s="0" t="s">
        <v>14</v>
      </c>
      <c r="B92" s="0" t="s">
        <v>40</v>
      </c>
      <c r="C92" s="0" t="s">
        <v>41</v>
      </c>
      <c r="D92" s="0" t="n">
        <v>2019</v>
      </c>
      <c r="E92" s="2" t="n">
        <v>9.05</v>
      </c>
      <c r="F92" s="2" t="n">
        <v>5.7</v>
      </c>
      <c r="G92" s="2" t="n">
        <f aca="false">E92-F92</f>
        <v>3.35</v>
      </c>
      <c r="H92" s="8" t="n">
        <f aca="false">G92/E92*100</f>
        <v>37.0165745856354</v>
      </c>
    </row>
    <row r="93" customFormat="false" ht="15" hidden="false" customHeight="false" outlineLevel="0" collapsed="false">
      <c r="A93" s="0" t="s">
        <v>14</v>
      </c>
      <c r="B93" s="0" t="s">
        <v>40</v>
      </c>
      <c r="C93" s="0" t="s">
        <v>41</v>
      </c>
      <c r="D93" s="0" t="n">
        <v>2020</v>
      </c>
      <c r="E93" s="2" t="n">
        <v>8.4</v>
      </c>
      <c r="F93" s="2" t="n">
        <v>5.6</v>
      </c>
      <c r="G93" s="2" t="n">
        <f aca="false">E93-F93</f>
        <v>2.8</v>
      </c>
      <c r="H93" s="8" t="n">
        <f aca="false">G93/E93*100</f>
        <v>33.3333333333333</v>
      </c>
    </row>
    <row r="94" customFormat="false" ht="15" hidden="false" customHeight="false" outlineLevel="0" collapsed="false">
      <c r="A94" s="0" t="s">
        <v>14</v>
      </c>
      <c r="B94" s="0" t="s">
        <v>28</v>
      </c>
      <c r="C94" s="0" t="s">
        <v>29</v>
      </c>
      <c r="D94" s="0" t="n">
        <v>2022</v>
      </c>
      <c r="E94" s="2" t="n">
        <v>9.8</v>
      </c>
      <c r="F94" s="2" t="n">
        <v>6.6</v>
      </c>
      <c r="G94" s="2" t="n">
        <f aca="false">E94-F94</f>
        <v>3.2</v>
      </c>
      <c r="H94" s="8" t="n">
        <f aca="false">G94/E94*100</f>
        <v>32.6530612244898</v>
      </c>
    </row>
    <row r="95" customFormat="false" ht="15" hidden="false" customHeight="false" outlineLevel="0" collapsed="false">
      <c r="A95" s="0" t="s">
        <v>14</v>
      </c>
      <c r="B95" s="0" t="s">
        <v>28</v>
      </c>
      <c r="C95" s="0" t="s">
        <v>29</v>
      </c>
      <c r="D95" s="0" t="n">
        <v>2023</v>
      </c>
      <c r="E95" s="2" t="n">
        <v>9.8</v>
      </c>
      <c r="F95" s="2" t="n">
        <v>6.6</v>
      </c>
      <c r="G95" s="2" t="n">
        <f aca="false">E95-F95</f>
        <v>3.2</v>
      </c>
      <c r="H95" s="8" t="n">
        <f aca="false">G95/E95*100</f>
        <v>32.6530612244898</v>
      </c>
    </row>
    <row r="96" customFormat="false" ht="15" hidden="false" customHeight="false" outlineLevel="0" collapsed="false">
      <c r="A96" s="0" t="s">
        <v>14</v>
      </c>
      <c r="B96" s="0" t="s">
        <v>28</v>
      </c>
      <c r="C96" s="0" t="s">
        <v>29</v>
      </c>
      <c r="D96" s="0" t="n">
        <v>2024</v>
      </c>
      <c r="E96" s="2" t="n">
        <v>9.85</v>
      </c>
      <c r="F96" s="2" t="n">
        <v>6.8</v>
      </c>
      <c r="G96" s="2" t="n">
        <f aca="false">E96-F96</f>
        <v>3.05</v>
      </c>
      <c r="H96" s="8" t="n">
        <f aca="false">G96/E96*100</f>
        <v>30.9644670050762</v>
      </c>
    </row>
    <row r="97" customFormat="false" ht="15" hidden="false" customHeight="false" outlineLevel="0" collapsed="false">
      <c r="A97" s="0" t="s">
        <v>14</v>
      </c>
      <c r="B97" s="0" t="s">
        <v>28</v>
      </c>
      <c r="C97" s="0" t="s">
        <v>29</v>
      </c>
      <c r="D97" s="0" t="n">
        <v>2025</v>
      </c>
      <c r="E97" s="2" t="n">
        <v>9.85</v>
      </c>
      <c r="F97" s="2" t="n">
        <v>7</v>
      </c>
      <c r="G97" s="2" t="n">
        <f aca="false">E97-F97</f>
        <v>2.85</v>
      </c>
      <c r="H97" s="8" t="n">
        <f aca="false">G97/E97*100</f>
        <v>28.9340101522843</v>
      </c>
    </row>
    <row r="98" customFormat="false" ht="15" hidden="false" customHeight="false" outlineLevel="0" collapsed="false">
      <c r="A98" s="0" t="s">
        <v>14</v>
      </c>
      <c r="B98" s="0" t="s">
        <v>23</v>
      </c>
      <c r="C98" s="0" t="s">
        <v>24</v>
      </c>
      <c r="D98" s="0" t="n">
        <v>2023</v>
      </c>
      <c r="E98" s="2" t="n">
        <v>9.5</v>
      </c>
      <c r="F98" s="2" t="n">
        <v>6.2</v>
      </c>
      <c r="G98" s="2" t="n">
        <f aca="false">E98-F98</f>
        <v>3.3</v>
      </c>
      <c r="H98" s="8" t="n">
        <f aca="false">G98/E98*100</f>
        <v>34.7368421052632</v>
      </c>
    </row>
    <row r="99" customFormat="false" ht="15" hidden="false" customHeight="false" outlineLevel="0" collapsed="false">
      <c r="A99" s="0" t="s">
        <v>14</v>
      </c>
      <c r="B99" s="0" t="s">
        <v>23</v>
      </c>
      <c r="C99" s="0" t="s">
        <v>24</v>
      </c>
      <c r="D99" s="0" t="n">
        <v>2024</v>
      </c>
      <c r="E99" s="2" t="n">
        <v>9.5</v>
      </c>
      <c r="F99" s="2" t="n">
        <v>6.2</v>
      </c>
      <c r="G99" s="2" t="n">
        <f aca="false">E99-F99</f>
        <v>3.3</v>
      </c>
      <c r="H99" s="8" t="n">
        <f aca="false">G99/E99*100</f>
        <v>34.7368421052632</v>
      </c>
    </row>
    <row r="100" customFormat="false" ht="15" hidden="false" customHeight="false" outlineLevel="0" collapsed="false">
      <c r="A100" s="0" t="s">
        <v>14</v>
      </c>
      <c r="B100" s="0" t="s">
        <v>23</v>
      </c>
      <c r="C100" s="0" t="s">
        <v>24</v>
      </c>
      <c r="D100" s="0" t="n">
        <v>2025</v>
      </c>
      <c r="E100" s="2" t="n">
        <v>9.4</v>
      </c>
      <c r="F100" s="2" t="n">
        <v>6.2</v>
      </c>
      <c r="G100" s="2" t="n">
        <f aca="false">E100-F100</f>
        <v>3.2</v>
      </c>
      <c r="H100" s="8" t="n">
        <f aca="false">G100/E100*100</f>
        <v>34.0425531914894</v>
      </c>
    </row>
    <row r="101" customFormat="false" ht="15" hidden="false" customHeight="false" outlineLevel="0" collapsed="false">
      <c r="A101" s="0" t="s">
        <v>35</v>
      </c>
      <c r="B101" s="0" t="s">
        <v>36</v>
      </c>
      <c r="C101" s="0" t="s">
        <v>37</v>
      </c>
      <c r="D101" s="0" t="n">
        <v>2015</v>
      </c>
      <c r="E101" s="2" t="n">
        <v>8.9</v>
      </c>
      <c r="F101" s="2" t="n">
        <v>5.8</v>
      </c>
      <c r="G101" s="2" t="n">
        <f aca="false">E101-F101</f>
        <v>3.1</v>
      </c>
      <c r="H101" s="8" t="n">
        <f aca="false">G101/E101*100</f>
        <v>34.8314606741573</v>
      </c>
    </row>
    <row r="102" customFormat="false" ht="15" hidden="false" customHeight="false" outlineLevel="0" collapsed="false">
      <c r="A102" s="0" t="s">
        <v>35</v>
      </c>
      <c r="B102" s="0" t="s">
        <v>36</v>
      </c>
      <c r="C102" s="0" t="s">
        <v>37</v>
      </c>
      <c r="D102" s="0" t="n">
        <v>2016</v>
      </c>
      <c r="E102" s="2" t="n">
        <v>9.9</v>
      </c>
      <c r="F102" s="2" t="n">
        <v>5.8</v>
      </c>
      <c r="G102" s="2" t="n">
        <f aca="false">E102-F102</f>
        <v>4.1</v>
      </c>
      <c r="H102" s="8" t="n">
        <f aca="false">G102/E102*100</f>
        <v>41.4141414141414</v>
      </c>
    </row>
    <row r="103" customFormat="false" ht="15" hidden="false" customHeight="false" outlineLevel="0" collapsed="false">
      <c r="A103" s="0" t="s">
        <v>35</v>
      </c>
      <c r="B103" s="0" t="s">
        <v>36</v>
      </c>
      <c r="C103" s="0" t="s">
        <v>37</v>
      </c>
      <c r="D103" s="0" t="n">
        <v>2017</v>
      </c>
      <c r="E103" s="2" t="n">
        <v>10.5</v>
      </c>
      <c r="F103" s="2" t="n">
        <v>5.9</v>
      </c>
      <c r="G103" s="2" t="n">
        <f aca="false">E103-F103</f>
        <v>4.6</v>
      </c>
      <c r="H103" s="8" t="n">
        <f aca="false">G103/E103*100</f>
        <v>43.8095238095238</v>
      </c>
    </row>
    <row r="104" customFormat="false" ht="15" hidden="false" customHeight="false" outlineLevel="0" collapsed="false">
      <c r="A104" s="0" t="s">
        <v>35</v>
      </c>
      <c r="B104" s="0" t="s">
        <v>77</v>
      </c>
      <c r="C104" s="0" t="s">
        <v>78</v>
      </c>
      <c r="D104" s="0" t="n">
        <v>2024</v>
      </c>
      <c r="E104" s="2" t="n">
        <v>9.8</v>
      </c>
      <c r="F104" s="2" t="n">
        <v>7.7</v>
      </c>
      <c r="G104" s="2" t="n">
        <f aca="false">E104-F104</f>
        <v>2.1</v>
      </c>
      <c r="H104" s="8" t="n">
        <f aca="false">G104/E104*100</f>
        <v>21.4285714285714</v>
      </c>
    </row>
    <row r="105" customFormat="false" ht="15" hidden="false" customHeight="false" outlineLevel="0" collapsed="false">
      <c r="A105" s="0" t="s">
        <v>35</v>
      </c>
      <c r="B105" s="0" t="s">
        <v>77</v>
      </c>
      <c r="C105" s="0" t="s">
        <v>78</v>
      </c>
      <c r="D105" s="0" t="n">
        <v>2025</v>
      </c>
      <c r="E105" s="2" t="n">
        <v>9.8</v>
      </c>
      <c r="F105" s="2" t="n">
        <v>7.7</v>
      </c>
      <c r="G105" s="2" t="n">
        <f aca="false">E105-F105</f>
        <v>2.1</v>
      </c>
      <c r="H105" s="8" t="n">
        <f aca="false">G105/E105*100</f>
        <v>21.4285714285714</v>
      </c>
    </row>
    <row r="106" customFormat="false" ht="15" hidden="false" customHeight="false" outlineLevel="0" collapsed="false">
      <c r="A106" s="0" t="s">
        <v>56</v>
      </c>
      <c r="B106" s="0" t="s">
        <v>57</v>
      </c>
      <c r="C106" s="0" t="s">
        <v>58</v>
      </c>
      <c r="D106" s="0" t="n">
        <v>2025</v>
      </c>
      <c r="E106" s="2" t="n">
        <v>8.9</v>
      </c>
      <c r="F106" s="2" t="n">
        <v>6.2</v>
      </c>
      <c r="G106" s="2" t="n">
        <f aca="false">E106-F106</f>
        <v>2.7</v>
      </c>
      <c r="H106" s="8" t="n">
        <f aca="false">G106/E106*100</f>
        <v>30.3370786516854</v>
      </c>
    </row>
    <row r="107" customFormat="false" ht="15" hidden="false" customHeight="false" outlineLevel="0" collapsed="false">
      <c r="A107" s="0" t="s">
        <v>96</v>
      </c>
      <c r="B107" s="0" t="s">
        <v>97</v>
      </c>
      <c r="C107" s="0" t="s">
        <v>98</v>
      </c>
      <c r="D107" s="0" t="n">
        <v>2015</v>
      </c>
      <c r="E107" s="2" t="n">
        <v>10.7</v>
      </c>
      <c r="F107" s="2" t="n">
        <v>8.8</v>
      </c>
      <c r="G107" s="2" t="n">
        <f aca="false">E107-F107</f>
        <v>1.9</v>
      </c>
      <c r="H107" s="8" t="n">
        <f aca="false">G107/E107*100</f>
        <v>17.7570093457944</v>
      </c>
    </row>
    <row r="108" customFormat="false" ht="15" hidden="false" customHeight="false" outlineLevel="0" collapsed="false">
      <c r="A108" s="0" t="s">
        <v>111</v>
      </c>
      <c r="B108" s="0" t="s">
        <v>112</v>
      </c>
      <c r="C108" s="0" t="s">
        <v>113</v>
      </c>
      <c r="D108" s="0" t="n">
        <v>2015</v>
      </c>
      <c r="E108" s="2" t="n">
        <v>8.6</v>
      </c>
      <c r="F108" s="2" t="n">
        <v>7.5</v>
      </c>
      <c r="G108" s="2" t="n">
        <f aca="false">E108-F108</f>
        <v>1.1</v>
      </c>
      <c r="H108" s="8" t="n">
        <f aca="false">G108/E108*100</f>
        <v>12.7906976744186</v>
      </c>
    </row>
    <row r="109" customFormat="false" ht="15" hidden="false" customHeight="false" outlineLevel="0" collapsed="false">
      <c r="A109" s="0" t="s">
        <v>111</v>
      </c>
      <c r="B109" s="0" t="s">
        <v>112</v>
      </c>
      <c r="C109" s="0" t="s">
        <v>113</v>
      </c>
      <c r="D109" s="0" t="n">
        <v>2016</v>
      </c>
      <c r="E109" s="2" t="n">
        <v>8.6</v>
      </c>
      <c r="F109" s="2" t="n">
        <v>7.5</v>
      </c>
      <c r="G109" s="2" t="n">
        <f aca="false">E109-F109</f>
        <v>1.1</v>
      </c>
      <c r="H109" s="8" t="n">
        <f aca="false">G109/E109*100</f>
        <v>12.7906976744186</v>
      </c>
    </row>
    <row r="110" customFormat="false" ht="15" hidden="false" customHeight="false" outlineLevel="0" collapsed="false">
      <c r="A110" s="0" t="s">
        <v>17</v>
      </c>
      <c r="B110" s="0" t="s">
        <v>109</v>
      </c>
      <c r="C110" s="0" t="s">
        <v>110</v>
      </c>
      <c r="D110" s="0" t="n">
        <v>2025</v>
      </c>
      <c r="E110" s="2" t="n">
        <v>11.2</v>
      </c>
      <c r="F110" s="2" t="n">
        <v>9.9</v>
      </c>
      <c r="G110" s="2" t="n">
        <f aca="false">E110-F110</f>
        <v>1.3</v>
      </c>
      <c r="H110" s="8" t="n">
        <f aca="false">G110/E110*100</f>
        <v>11.6071428571428</v>
      </c>
    </row>
    <row r="111" customFormat="false" ht="15" hidden="false" customHeight="false" outlineLevel="0" collapsed="false">
      <c r="A111" s="0" t="s">
        <v>17</v>
      </c>
      <c r="B111" s="0" t="s">
        <v>61</v>
      </c>
      <c r="C111" s="0" t="s">
        <v>62</v>
      </c>
      <c r="D111" s="0" t="n">
        <v>2020</v>
      </c>
      <c r="E111" s="2" t="n">
        <v>7.075</v>
      </c>
      <c r="F111" s="2" t="n">
        <v>4.5</v>
      </c>
      <c r="G111" s="2" t="n">
        <f aca="false">E111-F111</f>
        <v>2.575</v>
      </c>
      <c r="H111" s="8" t="n">
        <f aca="false">G111/E111*100</f>
        <v>36.3957597173145</v>
      </c>
    </row>
    <row r="112" customFormat="false" ht="15" hidden="false" customHeight="false" outlineLevel="0" collapsed="false">
      <c r="A112" s="0" t="s">
        <v>17</v>
      </c>
      <c r="B112" s="0" t="s">
        <v>61</v>
      </c>
      <c r="C112" s="0" t="s">
        <v>62</v>
      </c>
      <c r="D112" s="0" t="n">
        <v>2021</v>
      </c>
      <c r="E112" s="2" t="n">
        <v>7.1</v>
      </c>
      <c r="F112" s="2" t="n">
        <v>4.5</v>
      </c>
      <c r="G112" s="2" t="n">
        <f aca="false">E112-F112</f>
        <v>2.6</v>
      </c>
      <c r="H112" s="8" t="n">
        <f aca="false">G112/E112*100</f>
        <v>36.6197183098592</v>
      </c>
    </row>
    <row r="113" customFormat="false" ht="15" hidden="false" customHeight="false" outlineLevel="0" collapsed="false">
      <c r="A113" s="0" t="s">
        <v>17</v>
      </c>
      <c r="B113" s="0" t="s">
        <v>61</v>
      </c>
      <c r="C113" s="0" t="s">
        <v>62</v>
      </c>
      <c r="D113" s="0" t="n">
        <v>2022</v>
      </c>
      <c r="E113" s="2" t="n">
        <v>7.1</v>
      </c>
      <c r="F113" s="2" t="n">
        <v>4.5</v>
      </c>
      <c r="G113" s="2" t="n">
        <f aca="false">E113-F113</f>
        <v>2.6</v>
      </c>
      <c r="H113" s="8" t="n">
        <f aca="false">G113/E113*100</f>
        <v>36.6197183098592</v>
      </c>
    </row>
    <row r="114" customFormat="false" ht="15" hidden="false" customHeight="false" outlineLevel="0" collapsed="false">
      <c r="A114" s="0" t="s">
        <v>17</v>
      </c>
      <c r="B114" s="0" t="s">
        <v>73</v>
      </c>
      <c r="C114" s="0" t="s">
        <v>74</v>
      </c>
      <c r="D114" s="0" t="n">
        <v>2023</v>
      </c>
      <c r="E114" s="2" t="n">
        <v>7.8</v>
      </c>
      <c r="F114" s="2" t="n">
        <v>5.6</v>
      </c>
      <c r="G114" s="2" t="n">
        <f aca="false">E114-F114</f>
        <v>2.2</v>
      </c>
      <c r="H114" s="8" t="n">
        <f aca="false">G114/E114*100</f>
        <v>28.2051282051282</v>
      </c>
    </row>
    <row r="115" customFormat="false" ht="15" hidden="false" customHeight="false" outlineLevel="0" collapsed="false">
      <c r="A115" s="0" t="s">
        <v>17</v>
      </c>
      <c r="B115" s="0" t="s">
        <v>73</v>
      </c>
      <c r="C115" s="0" t="s">
        <v>74</v>
      </c>
      <c r="D115" s="0" t="n">
        <v>2024</v>
      </c>
      <c r="E115" s="2" t="n">
        <v>7.8</v>
      </c>
      <c r="F115" s="2" t="n">
        <v>5.6</v>
      </c>
      <c r="G115" s="2" t="n">
        <f aca="false">E115-F115</f>
        <v>2.2</v>
      </c>
      <c r="H115" s="8" t="n">
        <f aca="false">G115/E115*100</f>
        <v>28.2051282051282</v>
      </c>
    </row>
    <row r="116" customFormat="false" ht="15" hidden="false" customHeight="false" outlineLevel="0" collapsed="false">
      <c r="A116" s="0" t="s">
        <v>17</v>
      </c>
      <c r="B116" s="0" t="s">
        <v>73</v>
      </c>
      <c r="C116" s="0" t="s">
        <v>74</v>
      </c>
      <c r="D116" s="0" t="n">
        <v>2025</v>
      </c>
      <c r="E116" s="2" t="n">
        <v>7.8</v>
      </c>
      <c r="F116" s="2" t="n">
        <v>5.6</v>
      </c>
      <c r="G116" s="2" t="n">
        <f aca="false">E116-F116</f>
        <v>2.2</v>
      </c>
      <c r="H116" s="8" t="n">
        <f aca="false">G116/E116*100</f>
        <v>28.2051282051282</v>
      </c>
    </row>
    <row r="117" customFormat="false" ht="15" hidden="false" customHeight="false" outlineLevel="0" collapsed="false">
      <c r="A117" s="0" t="s">
        <v>17</v>
      </c>
      <c r="B117" s="0" t="s">
        <v>18</v>
      </c>
      <c r="C117" s="0" t="s">
        <v>19</v>
      </c>
      <c r="D117" s="0" t="n">
        <v>2024</v>
      </c>
      <c r="E117" s="2" t="n">
        <v>10.7</v>
      </c>
      <c r="F117" s="2" t="n">
        <v>7</v>
      </c>
      <c r="G117" s="2" t="n">
        <f aca="false">E117-F117</f>
        <v>3.7</v>
      </c>
      <c r="H117" s="8" t="n">
        <f aca="false">G117/E117*100</f>
        <v>34.5794392523365</v>
      </c>
    </row>
    <row r="118" customFormat="false" ht="15" hidden="false" customHeight="false" outlineLevel="0" collapsed="false">
      <c r="A118" s="0" t="s">
        <v>17</v>
      </c>
      <c r="B118" s="0" t="s">
        <v>45</v>
      </c>
      <c r="C118" s="0" t="s">
        <v>46</v>
      </c>
      <c r="D118" s="0" t="n">
        <v>2024</v>
      </c>
      <c r="E118" s="2" t="n">
        <v>10</v>
      </c>
      <c r="F118" s="2" t="n">
        <v>7</v>
      </c>
      <c r="G118" s="2" t="n">
        <f aca="false">E118-F118</f>
        <v>3</v>
      </c>
      <c r="H118" s="8" t="n">
        <f aca="false">G118/E118*100</f>
        <v>30</v>
      </c>
    </row>
    <row r="119" customFormat="false" ht="15" hidden="false" customHeight="false" outlineLevel="0" collapsed="false">
      <c r="A119" s="0" t="s">
        <v>17</v>
      </c>
      <c r="B119" s="0" t="s">
        <v>38</v>
      </c>
      <c r="C119" s="0" t="s">
        <v>39</v>
      </c>
      <c r="D119" s="0" t="n">
        <v>2015</v>
      </c>
      <c r="E119" s="2" t="n">
        <v>11.6</v>
      </c>
      <c r="F119" s="2" t="n">
        <v>8.5</v>
      </c>
      <c r="G119" s="2" t="n">
        <f aca="false">E119-F119</f>
        <v>3.1</v>
      </c>
      <c r="H119" s="8" t="n">
        <f aca="false">G119/E119*100</f>
        <v>26.7241379310345</v>
      </c>
    </row>
    <row r="120" customFormat="false" ht="15" hidden="false" customHeight="false" outlineLevel="0" collapsed="false">
      <c r="A120" s="0" t="s">
        <v>17</v>
      </c>
      <c r="B120" s="0" t="s">
        <v>38</v>
      </c>
      <c r="C120" s="0" t="s">
        <v>39</v>
      </c>
      <c r="D120" s="0" t="n">
        <v>2016</v>
      </c>
      <c r="E120" s="2" t="n">
        <v>11.6</v>
      </c>
      <c r="F120" s="2" t="n">
        <v>8.5</v>
      </c>
      <c r="G120" s="2" t="n">
        <f aca="false">E120-F120</f>
        <v>3.1</v>
      </c>
      <c r="H120" s="8" t="n">
        <f aca="false">G120/E120*100</f>
        <v>26.7241379310345</v>
      </c>
    </row>
    <row r="121" customFormat="false" ht="15" hidden="false" customHeight="false" outlineLevel="0" collapsed="false">
      <c r="A121" s="0" t="s">
        <v>17</v>
      </c>
      <c r="B121" s="0" t="s">
        <v>38</v>
      </c>
      <c r="C121" s="0" t="s">
        <v>39</v>
      </c>
      <c r="D121" s="0" t="n">
        <v>2017</v>
      </c>
      <c r="E121" s="2" t="n">
        <v>10.6</v>
      </c>
      <c r="F121" s="2" t="n">
        <v>8.3</v>
      </c>
      <c r="G121" s="2" t="n">
        <f aca="false">E121-F121</f>
        <v>2.3</v>
      </c>
      <c r="H121" s="8" t="n">
        <f aca="false">G121/E121*100</f>
        <v>21.6981132075472</v>
      </c>
    </row>
    <row r="122" customFormat="false" ht="15" hidden="false" customHeight="false" outlineLevel="0" collapsed="false">
      <c r="A122" s="0" t="s">
        <v>17</v>
      </c>
      <c r="B122" s="0" t="s">
        <v>38</v>
      </c>
      <c r="C122" s="0" t="s">
        <v>39</v>
      </c>
      <c r="D122" s="0" t="n">
        <v>2018</v>
      </c>
      <c r="E122" s="2" t="n">
        <v>10.6</v>
      </c>
      <c r="F122" s="2" t="n">
        <v>8.3</v>
      </c>
      <c r="G122" s="2" t="n">
        <f aca="false">E122-F122</f>
        <v>2.3</v>
      </c>
      <c r="H122" s="8" t="n">
        <f aca="false">G122/E122*100</f>
        <v>21.6981132075472</v>
      </c>
    </row>
    <row r="123" customFormat="false" ht="15" hidden="false" customHeight="false" outlineLevel="0" collapsed="false">
      <c r="A123" s="0" t="s">
        <v>17</v>
      </c>
      <c r="B123" s="0" t="s">
        <v>38</v>
      </c>
      <c r="C123" s="0" t="s">
        <v>39</v>
      </c>
      <c r="D123" s="0" t="n">
        <v>2019</v>
      </c>
      <c r="E123" s="2" t="n">
        <v>10.6</v>
      </c>
      <c r="F123" s="2" t="n">
        <v>8.3</v>
      </c>
      <c r="G123" s="2" t="n">
        <f aca="false">E123-F123</f>
        <v>2.3</v>
      </c>
      <c r="H123" s="8" t="n">
        <f aca="false">G123/E123*100</f>
        <v>21.6981132075472</v>
      </c>
    </row>
    <row r="124" customFormat="false" ht="15" hidden="false" customHeight="false" outlineLevel="0" collapsed="false">
      <c r="A124" s="0" t="s">
        <v>17</v>
      </c>
      <c r="B124" s="0" t="s">
        <v>38</v>
      </c>
      <c r="C124" s="0" t="s">
        <v>39</v>
      </c>
      <c r="D124" s="0" t="n">
        <v>2020</v>
      </c>
      <c r="E124" s="2" t="n">
        <v>10.3</v>
      </c>
      <c r="F124" s="2" t="n">
        <v>6.7</v>
      </c>
      <c r="G124" s="2" t="n">
        <f aca="false">E124-F124</f>
        <v>3.6</v>
      </c>
      <c r="H124" s="8" t="n">
        <f aca="false">G124/E124*100</f>
        <v>34.9514563106796</v>
      </c>
    </row>
    <row r="125" customFormat="false" ht="15" hidden="false" customHeight="false" outlineLevel="0" collapsed="false">
      <c r="A125" s="0" t="s">
        <v>17</v>
      </c>
      <c r="B125" s="0" t="s">
        <v>38</v>
      </c>
      <c r="C125" s="0" t="s">
        <v>39</v>
      </c>
      <c r="D125" s="0" t="n">
        <v>2021</v>
      </c>
      <c r="E125" s="2" t="n">
        <v>10.3</v>
      </c>
      <c r="F125" s="2" t="n">
        <v>6.7</v>
      </c>
      <c r="G125" s="2" t="n">
        <f aca="false">E125-F125</f>
        <v>3.6</v>
      </c>
      <c r="H125" s="8" t="n">
        <f aca="false">G125/E125*100</f>
        <v>34.9514563106796</v>
      </c>
    </row>
    <row r="126" customFormat="false" ht="15" hidden="false" customHeight="false" outlineLevel="0" collapsed="false">
      <c r="A126" s="0" t="s">
        <v>17</v>
      </c>
      <c r="B126" s="0" t="s">
        <v>38</v>
      </c>
      <c r="C126" s="0" t="s">
        <v>39</v>
      </c>
      <c r="D126" s="0" t="n">
        <v>2022</v>
      </c>
      <c r="E126" s="2" t="n">
        <v>10.3</v>
      </c>
      <c r="F126" s="2" t="n">
        <v>6.7</v>
      </c>
      <c r="G126" s="2" t="n">
        <f aca="false">E126-F126</f>
        <v>3.6</v>
      </c>
      <c r="H126" s="8" t="n">
        <f aca="false">G126/E126*100</f>
        <v>34.9514563106796</v>
      </c>
    </row>
    <row r="127" customFormat="false" ht="15" hidden="false" customHeight="false" outlineLevel="0" collapsed="false">
      <c r="A127" s="0" t="s">
        <v>17</v>
      </c>
      <c r="B127" s="0" t="s">
        <v>38</v>
      </c>
      <c r="C127" s="0" t="s">
        <v>39</v>
      </c>
      <c r="D127" s="0" t="n">
        <v>2023</v>
      </c>
      <c r="E127" s="2" t="n">
        <v>9.9</v>
      </c>
      <c r="F127" s="2" t="n">
        <v>6.7</v>
      </c>
      <c r="G127" s="2" t="n">
        <f aca="false">E127-F127</f>
        <v>3.2</v>
      </c>
      <c r="H127" s="8" t="n">
        <f aca="false">G127/E127*100</f>
        <v>32.3232323232323</v>
      </c>
    </row>
    <row r="128" customFormat="false" ht="15" hidden="false" customHeight="false" outlineLevel="0" collapsed="false">
      <c r="A128" s="0" t="s">
        <v>17</v>
      </c>
      <c r="B128" s="0" t="s">
        <v>38</v>
      </c>
      <c r="C128" s="0" t="s">
        <v>39</v>
      </c>
      <c r="D128" s="0" t="n">
        <v>2024</v>
      </c>
      <c r="E128" s="2" t="n">
        <v>9.9</v>
      </c>
      <c r="F128" s="2" t="n">
        <v>6.7</v>
      </c>
      <c r="G128" s="2" t="n">
        <f aca="false">E128-F128</f>
        <v>3.2</v>
      </c>
      <c r="H128" s="8" t="n">
        <f aca="false">G128/E128*100</f>
        <v>32.3232323232323</v>
      </c>
    </row>
    <row r="129" customFormat="false" ht="15" hidden="false" customHeight="false" outlineLevel="0" collapsed="false">
      <c r="A129" s="0" t="s">
        <v>17</v>
      </c>
      <c r="B129" s="0" t="s">
        <v>38</v>
      </c>
      <c r="C129" s="0" t="s">
        <v>39</v>
      </c>
      <c r="D129" s="0" t="n">
        <v>2025</v>
      </c>
      <c r="E129" s="2" t="n">
        <v>9.9</v>
      </c>
      <c r="F129" s="2" t="n">
        <v>6.7</v>
      </c>
      <c r="G129" s="2" t="n">
        <f aca="false">E129-F129</f>
        <v>3.2</v>
      </c>
      <c r="H129" s="8" t="n">
        <f aca="false">G129/E129*100</f>
        <v>32.3232323232323</v>
      </c>
    </row>
    <row r="130" customFormat="false" ht="15" hidden="false" customHeight="false" outlineLevel="0" collapsed="false">
      <c r="A130" s="0" t="s">
        <v>17</v>
      </c>
      <c r="B130" s="0" t="s">
        <v>69</v>
      </c>
      <c r="C130" s="0" t="s">
        <v>70</v>
      </c>
      <c r="D130" s="0" t="n">
        <v>2016</v>
      </c>
      <c r="E130" s="2" t="n">
        <v>9.5</v>
      </c>
      <c r="F130" s="2" t="n">
        <v>7.2</v>
      </c>
      <c r="G130" s="2" t="n">
        <f aca="false">E130-F130</f>
        <v>2.3</v>
      </c>
      <c r="H130" s="8" t="n">
        <f aca="false">G130/E130*100</f>
        <v>24.2105263157895</v>
      </c>
    </row>
    <row r="131" customFormat="false" ht="15" hidden="false" customHeight="false" outlineLevel="0" collapsed="false">
      <c r="A131" s="0" t="s">
        <v>17</v>
      </c>
      <c r="B131" s="0" t="s">
        <v>69</v>
      </c>
      <c r="C131" s="0" t="s">
        <v>70</v>
      </c>
      <c r="D131" s="0" t="n">
        <v>2017</v>
      </c>
      <c r="E131" s="2" t="n">
        <v>9.5</v>
      </c>
      <c r="F131" s="2" t="n">
        <v>7.3</v>
      </c>
      <c r="G131" s="2" t="n">
        <f aca="false">E131-F131</f>
        <v>2.2</v>
      </c>
      <c r="H131" s="8" t="n">
        <f aca="false">G131/E131*100</f>
        <v>23.1578947368421</v>
      </c>
    </row>
    <row r="132" customFormat="false" ht="15" hidden="false" customHeight="false" outlineLevel="0" collapsed="false">
      <c r="A132" s="0" t="s">
        <v>17</v>
      </c>
      <c r="B132" s="0" t="s">
        <v>69</v>
      </c>
      <c r="C132" s="0" t="s">
        <v>70</v>
      </c>
      <c r="D132" s="0" t="n">
        <v>2018</v>
      </c>
      <c r="E132" s="2" t="n">
        <v>9.5</v>
      </c>
      <c r="F132" s="2" t="n">
        <v>7.3</v>
      </c>
      <c r="G132" s="2" t="n">
        <f aca="false">E132-F132</f>
        <v>2.2</v>
      </c>
      <c r="H132" s="8" t="n">
        <f aca="false">G132/E132*100</f>
        <v>23.1578947368421</v>
      </c>
    </row>
    <row r="133" customFormat="false" ht="15" hidden="false" customHeight="false" outlineLevel="0" collapsed="false">
      <c r="A133" s="0" t="s">
        <v>17</v>
      </c>
      <c r="B133" s="0" t="s">
        <v>69</v>
      </c>
      <c r="C133" s="0" t="s">
        <v>70</v>
      </c>
      <c r="D133" s="0" t="n">
        <v>2019</v>
      </c>
      <c r="E133" s="2" t="n">
        <v>8.3</v>
      </c>
      <c r="F133" s="2" t="n">
        <v>6</v>
      </c>
      <c r="G133" s="2" t="n">
        <f aca="false">E133-F133</f>
        <v>2.3</v>
      </c>
      <c r="H133" s="8" t="n">
        <f aca="false">G133/E133*100</f>
        <v>27.710843373494</v>
      </c>
    </row>
    <row r="134" customFormat="false" ht="15" hidden="false" customHeight="false" outlineLevel="0" collapsed="false">
      <c r="A134" s="0" t="s">
        <v>17</v>
      </c>
      <c r="B134" s="0" t="s">
        <v>69</v>
      </c>
      <c r="C134" s="0" t="s">
        <v>70</v>
      </c>
      <c r="D134" s="0" t="n">
        <v>2020</v>
      </c>
      <c r="E134" s="2" t="n">
        <v>8.2</v>
      </c>
      <c r="F134" s="2" t="n">
        <v>6</v>
      </c>
      <c r="G134" s="2" t="n">
        <f aca="false">E134-F134</f>
        <v>2.2</v>
      </c>
      <c r="H134" s="8" t="n">
        <f aca="false">G134/E134*100</f>
        <v>26.8292682926829</v>
      </c>
    </row>
    <row r="135" customFormat="false" ht="15" hidden="false" customHeight="false" outlineLevel="0" collapsed="false">
      <c r="A135" s="0" t="s">
        <v>17</v>
      </c>
      <c r="B135" s="0" t="s">
        <v>69</v>
      </c>
      <c r="C135" s="0" t="s">
        <v>70</v>
      </c>
      <c r="D135" s="0" t="n">
        <v>2021</v>
      </c>
      <c r="E135" s="2" t="n">
        <v>8.4</v>
      </c>
      <c r="F135" s="2" t="n">
        <v>6</v>
      </c>
      <c r="G135" s="2" t="n">
        <f aca="false">E135-F135</f>
        <v>2.4</v>
      </c>
      <c r="H135" s="8" t="n">
        <f aca="false">G135/E135*100</f>
        <v>28.5714285714286</v>
      </c>
    </row>
    <row r="136" customFormat="false" ht="15" hidden="false" customHeight="false" outlineLevel="0" collapsed="false">
      <c r="A136" s="0" t="s">
        <v>17</v>
      </c>
      <c r="B136" s="0" t="s">
        <v>69</v>
      </c>
      <c r="C136" s="0" t="s">
        <v>70</v>
      </c>
      <c r="D136" s="0" t="n">
        <v>2022</v>
      </c>
      <c r="E136" s="2" t="n">
        <v>8.4</v>
      </c>
      <c r="F136" s="2" t="n">
        <v>6</v>
      </c>
      <c r="G136" s="2" t="n">
        <f aca="false">E136-F136</f>
        <v>2.4</v>
      </c>
      <c r="H136" s="8" t="n">
        <f aca="false">G136/E136*100</f>
        <v>28.5714285714286</v>
      </c>
    </row>
    <row r="137" customFormat="false" ht="15" hidden="false" customHeight="false" outlineLevel="0" collapsed="false">
      <c r="A137" s="0" t="s">
        <v>17</v>
      </c>
      <c r="B137" s="0" t="s">
        <v>69</v>
      </c>
      <c r="C137" s="0" t="s">
        <v>70</v>
      </c>
      <c r="D137" s="0" t="n">
        <v>2023</v>
      </c>
      <c r="E137" s="2" t="n">
        <v>8.5</v>
      </c>
      <c r="F137" s="2" t="n">
        <v>6</v>
      </c>
      <c r="G137" s="2" t="n">
        <f aca="false">E137-F137</f>
        <v>2.5</v>
      </c>
      <c r="H137" s="8" t="n">
        <f aca="false">G137/E137*100</f>
        <v>29.4117647058824</v>
      </c>
    </row>
    <row r="138" customFormat="false" ht="15" hidden="false" customHeight="false" outlineLevel="0" collapsed="false">
      <c r="A138" s="0" t="s">
        <v>17</v>
      </c>
      <c r="B138" s="0" t="s">
        <v>69</v>
      </c>
      <c r="C138" s="0" t="s">
        <v>70</v>
      </c>
      <c r="D138" s="0" t="n">
        <v>2024</v>
      </c>
      <c r="E138" s="2" t="n">
        <v>8.5</v>
      </c>
      <c r="F138" s="2" t="n">
        <v>6</v>
      </c>
      <c r="G138" s="2" t="n">
        <f aca="false">E138-F138</f>
        <v>2.5</v>
      </c>
      <c r="H138" s="8" t="n">
        <f aca="false">G138/E138*100</f>
        <v>29.4117647058824</v>
      </c>
    </row>
    <row r="139" customFormat="false" ht="15" hidden="false" customHeight="false" outlineLevel="0" collapsed="false">
      <c r="A139" s="0" t="s">
        <v>17</v>
      </c>
      <c r="B139" s="0" t="s">
        <v>69</v>
      </c>
      <c r="C139" s="0" t="s">
        <v>70</v>
      </c>
      <c r="D139" s="0" t="n">
        <v>2025</v>
      </c>
      <c r="E139" s="2" t="n">
        <v>8.5</v>
      </c>
      <c r="F139" s="2" t="n">
        <v>6</v>
      </c>
      <c r="G139" s="2" t="n">
        <f aca="false">E139-F139</f>
        <v>2.5</v>
      </c>
      <c r="H139" s="8" t="n">
        <f aca="false">G139/E139*100</f>
        <v>29.4117647058824</v>
      </c>
    </row>
    <row r="140" customFormat="false" ht="15" hidden="false" customHeight="false" outlineLevel="0" collapsed="false">
      <c r="A140" s="0" t="s">
        <v>17</v>
      </c>
      <c r="B140" s="0" t="s">
        <v>103</v>
      </c>
      <c r="C140" s="0" t="s">
        <v>104</v>
      </c>
      <c r="D140" s="0" t="n">
        <v>2024</v>
      </c>
      <c r="E140" s="2" t="n">
        <v>11.9</v>
      </c>
      <c r="F140" s="2" t="n">
        <v>10.3</v>
      </c>
      <c r="G140" s="2" t="n">
        <f aca="false">E140-F140</f>
        <v>1.6</v>
      </c>
      <c r="H140" s="8" t="n">
        <f aca="false">G140/E140*100</f>
        <v>13.4453781512605</v>
      </c>
    </row>
    <row r="141" customFormat="false" ht="15" hidden="false" customHeight="false" outlineLevel="0" collapsed="false">
      <c r="A141" s="0" t="s">
        <v>17</v>
      </c>
      <c r="B141" s="0" t="s">
        <v>103</v>
      </c>
      <c r="C141" s="0" t="s">
        <v>104</v>
      </c>
      <c r="D141" s="0" t="n">
        <v>2025</v>
      </c>
      <c r="E141" s="2" t="n">
        <v>11.9</v>
      </c>
      <c r="F141" s="2" t="n">
        <v>10.3</v>
      </c>
      <c r="G141" s="2" t="n">
        <f aca="false">E141-F141</f>
        <v>1.6</v>
      </c>
      <c r="H141" s="8" t="n">
        <f aca="false">G141/E141*100</f>
        <v>13.4453781512605</v>
      </c>
    </row>
    <row r="142" customFormat="false" ht="15" hidden="false" customHeight="false" outlineLevel="0" collapsed="false">
      <c r="A142" s="0" t="s">
        <v>17</v>
      </c>
      <c r="B142" s="0" t="s">
        <v>114</v>
      </c>
      <c r="C142" s="0" t="s">
        <v>115</v>
      </c>
      <c r="D142" s="0" t="n">
        <v>2022</v>
      </c>
      <c r="E142" s="2" t="n">
        <v>12.4</v>
      </c>
      <c r="F142" s="2" t="n">
        <v>11.7</v>
      </c>
      <c r="G142" s="2" t="n">
        <f aca="false">E142-F142</f>
        <v>0.700000000000001</v>
      </c>
      <c r="H142" s="8" t="n">
        <f aca="false">G142/E142*100</f>
        <v>5.64516129032259</v>
      </c>
    </row>
    <row r="143" customFormat="false" ht="15" hidden="false" customHeight="false" outlineLevel="0" collapsed="false">
      <c r="A143" s="0" t="s">
        <v>17</v>
      </c>
      <c r="B143" s="0" t="s">
        <v>114</v>
      </c>
      <c r="C143" s="0" t="s">
        <v>115</v>
      </c>
      <c r="D143" s="0" t="n">
        <v>2023</v>
      </c>
      <c r="E143" s="2" t="n">
        <v>12.4</v>
      </c>
      <c r="F143" s="2" t="n">
        <v>11.7</v>
      </c>
      <c r="G143" s="2" t="n">
        <f aca="false">E143-F143</f>
        <v>0.700000000000001</v>
      </c>
      <c r="H143" s="8" t="n">
        <f aca="false">G143/E143*100</f>
        <v>5.64516129032259</v>
      </c>
    </row>
    <row r="144" customFormat="false" ht="15" hidden="false" customHeight="false" outlineLevel="0" collapsed="false">
      <c r="A144" s="0" t="s">
        <v>17</v>
      </c>
      <c r="B144" s="0" t="s">
        <v>114</v>
      </c>
      <c r="C144" s="0" t="s">
        <v>115</v>
      </c>
      <c r="D144" s="0" t="n">
        <v>2024</v>
      </c>
      <c r="E144" s="2" t="n">
        <v>12.4</v>
      </c>
      <c r="F144" s="2" t="n">
        <v>11.7</v>
      </c>
      <c r="G144" s="2" t="n">
        <f aca="false">E144-F144</f>
        <v>0.700000000000001</v>
      </c>
      <c r="H144" s="8" t="n">
        <f aca="false">G144/E144*100</f>
        <v>5.64516129032259</v>
      </c>
    </row>
    <row r="145" customFormat="false" ht="15" hidden="false" customHeight="false" outlineLevel="0" collapsed="false">
      <c r="A145" s="0" t="s">
        <v>42</v>
      </c>
      <c r="B145" s="0" t="s">
        <v>43</v>
      </c>
      <c r="C145" s="0" t="s">
        <v>44</v>
      </c>
      <c r="D145" s="0" t="n">
        <v>2015</v>
      </c>
      <c r="E145" s="2" t="n">
        <v>8.3</v>
      </c>
      <c r="F145" s="2" t="n">
        <v>5.3</v>
      </c>
      <c r="G145" s="2" t="n">
        <f aca="false">E145-F145</f>
        <v>3</v>
      </c>
      <c r="H145" s="8" t="n">
        <f aca="false">G145/E145*100</f>
        <v>36.144578313253</v>
      </c>
    </row>
    <row r="146" customFormat="false" ht="15" hidden="false" customHeight="false" outlineLevel="0" collapsed="false">
      <c r="A146" s="0" t="s">
        <v>42</v>
      </c>
      <c r="B146" s="0" t="s">
        <v>43</v>
      </c>
      <c r="C146" s="0" t="s">
        <v>44</v>
      </c>
      <c r="D146" s="0" t="n">
        <v>2016</v>
      </c>
      <c r="E146" s="2" t="n">
        <v>8</v>
      </c>
      <c r="F146" s="2" t="n">
        <v>5.3</v>
      </c>
      <c r="G146" s="2" t="n">
        <f aca="false">E146-F146</f>
        <v>2.7</v>
      </c>
      <c r="H146" s="8" t="n">
        <f aca="false">G146/E146*100</f>
        <v>33.75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2025-11-16T20:30:24Z</dcterms:created>
  <dc:creator>openpyxl</dc:creator>
  <dc:description/>
  <dc:language>en-US</dc:language>
  <cp:lastModifiedBy/>
  <dcterms:modified xsi:type="dcterms:W3CDTF">2025-11-16T20:30:24Z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