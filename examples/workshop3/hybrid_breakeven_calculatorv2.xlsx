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anm\Downloads\"/>
    </mc:Choice>
  </mc:AlternateContent>
  <xr:revisionPtr revIDLastSave="0" documentId="13_ncr:1_{9DD422D7-2CE5-49BF-B770-ED4EBCC186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lculator" sheetId="1" r:id="rId1"/>
    <sheet name="Vehicl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1" l="1"/>
  <c r="B37" i="1"/>
  <c r="B32" i="1"/>
  <c r="B26" i="1"/>
  <c r="B11" i="1"/>
  <c r="B10" i="1"/>
  <c r="B12" i="1" l="1"/>
  <c r="G74" i="1" s="1"/>
  <c r="C72" i="1"/>
  <c r="G57" i="1"/>
  <c r="C55" i="1"/>
  <c r="E52" i="1"/>
  <c r="F74" i="1"/>
  <c r="B72" i="1"/>
  <c r="D69" i="1"/>
  <c r="F57" i="1"/>
  <c r="B55" i="1"/>
  <c r="D52" i="1"/>
  <c r="G71" i="1"/>
  <c r="E57" i="1"/>
  <c r="G54" i="1"/>
  <c r="C52" i="1"/>
  <c r="D68" i="1"/>
  <c r="D51" i="1"/>
  <c r="G70" i="1"/>
  <c r="E56" i="1"/>
  <c r="C51" i="1"/>
  <c r="F70" i="1"/>
  <c r="D56" i="1"/>
  <c r="G67" i="1"/>
  <c r="G50" i="1"/>
  <c r="B73" i="1"/>
  <c r="D70" i="1"/>
  <c r="F67" i="1"/>
  <c r="D53" i="1"/>
  <c r="F50" i="1"/>
  <c r="G72" i="1"/>
  <c r="E67" i="1"/>
  <c r="C53" i="1"/>
  <c r="F72" i="1"/>
  <c r="D67" i="1"/>
  <c r="B53" i="1"/>
  <c r="C67" i="1"/>
  <c r="E74" i="1"/>
  <c r="C69" i="1"/>
  <c r="F53" i="1"/>
  <c r="B56" i="1"/>
  <c r="B24" i="1"/>
  <c r="G69" i="1"/>
  <c r="D74" i="1"/>
  <c r="F71" i="1"/>
  <c r="B69" i="1"/>
  <c r="D57" i="1"/>
  <c r="F54" i="1"/>
  <c r="B52" i="1"/>
  <c r="C74" i="1"/>
  <c r="E71" i="1"/>
  <c r="G68" i="1"/>
  <c r="C57" i="1"/>
  <c r="E54" i="1"/>
  <c r="G51" i="1"/>
  <c r="B74" i="1"/>
  <c r="D71" i="1"/>
  <c r="F68" i="1"/>
  <c r="B57" i="1"/>
  <c r="D54" i="1"/>
  <c r="F51" i="1"/>
  <c r="B36" i="1"/>
  <c r="B38" i="1" s="1"/>
  <c r="G73" i="1"/>
  <c r="C71" i="1"/>
  <c r="E68" i="1"/>
  <c r="G56" i="1"/>
  <c r="C54" i="1"/>
  <c r="E51" i="1"/>
  <c r="F73" i="1"/>
  <c r="B71" i="1"/>
  <c r="F56" i="1"/>
  <c r="B54" i="1"/>
  <c r="E73" i="1"/>
  <c r="C68" i="1"/>
  <c r="G53" i="1"/>
  <c r="B68" i="1"/>
  <c r="B51" i="1"/>
  <c r="E70" i="1"/>
  <c r="C56" i="1"/>
  <c r="E53" i="1"/>
  <c r="E55" i="1"/>
  <c r="F69" i="1"/>
  <c r="B67" i="1"/>
  <c r="B50" i="1"/>
  <c r="D73" i="1"/>
  <c r="C73" i="1"/>
  <c r="C70" i="1"/>
  <c r="G55" i="1"/>
  <c r="E50" i="1"/>
  <c r="B70" i="1"/>
  <c r="F55" i="1"/>
  <c r="D50" i="1"/>
  <c r="E72" i="1"/>
  <c r="G52" i="1"/>
  <c r="C50" i="1"/>
  <c r="D72" i="1"/>
  <c r="D55" i="1"/>
  <c r="F52" i="1"/>
  <c r="E69" i="1" l="1"/>
  <c r="B41" i="1"/>
  <c r="B43" i="1" s="1"/>
  <c r="B25" i="1"/>
  <c r="B27" i="1" s="1"/>
  <c r="B31" i="1" s="1"/>
  <c r="B33" i="1" s="1"/>
</calcChain>
</file>

<file path=xl/sharedStrings.xml><?xml version="1.0" encoding="utf-8"?>
<sst xmlns="http://schemas.openxmlformats.org/spreadsheetml/2006/main" count="3971" uniqueCount="1242">
  <si>
    <t>HYBRID/VEHICLE COMPARISON BREAKEVEN CALCULATOR</t>
  </si>
  <si>
    <t>Select two vehicles to compare and calculate breakeven values</t>
  </si>
  <si>
    <t>VEHICLE SELECTION</t>
  </si>
  <si>
    <t>Select vehicles from dropdown:</t>
  </si>
  <si>
    <t>Vehicle 1 (Higher fuel consumption)</t>
  </si>
  <si>
    <t>Toyota - RAV4 AWD</t>
  </si>
  <si>
    <t>Vehicle 2 (Lower fuel consumption)</t>
  </si>
  <si>
    <t>Toyota - RAV4 Hybrid AWD</t>
  </si>
  <si>
    <t>VEHICLE SPECIFICATIONS (Auto-populated)</t>
  </si>
  <si>
    <t>Vehicle 1 Fuel Consumption (L/100 km)</t>
  </si>
  <si>
    <t>Vehicle 2 Fuel Consumption (L/100 km)</t>
  </si>
  <si>
    <t>Fuel Savings (L/100 km)</t>
  </si>
  <si>
    <t>Financial Parameters</t>
  </si>
  <si>
    <t>Price Differential ($)</t>
  </si>
  <si>
    <t>Extra cost for Vehicle 2</t>
  </si>
  <si>
    <t>Gas Price ($/litre)</t>
  </si>
  <si>
    <t>Interest Rate (% per year)</t>
  </si>
  <si>
    <t>Analysis Period (years)</t>
  </si>
  <si>
    <t>Driving Assumptions</t>
  </si>
  <si>
    <t>Annual Kilometers</t>
  </si>
  <si>
    <t>INTERMEDIATE CALCULATIONS</t>
  </si>
  <si>
    <t>Annual Fuel Savings (litres)</t>
  </si>
  <si>
    <t>Annual Dollar Savings ($)</t>
  </si>
  <si>
    <t>PV Annuity Factor</t>
  </si>
  <si>
    <t>Present Value of Savings ($)</t>
  </si>
  <si>
    <t>BREAKEVEN ANALYSIS</t>
  </si>
  <si>
    <t>Scenario 1: Maximum Justifiable Price Differential</t>
  </si>
  <si>
    <t>Max Differential You Should Pay ($)</t>
  </si>
  <si>
    <t>Actual Price Differential ($)</t>
  </si>
  <si>
    <t>Surplus/(Shortfall) ($)</t>
  </si>
  <si>
    <t>Scenario 2: Required Annual Kilometers</t>
  </si>
  <si>
    <t>Required Annual KM to Break Even</t>
  </si>
  <si>
    <t>Actual Annual KM</t>
  </si>
  <si>
    <t>Additional KM Needed</t>
  </si>
  <si>
    <t>Scenario 3: Required Gas Price</t>
  </si>
  <si>
    <t>Required Gas Price to Break Even ($/L)</t>
  </si>
  <si>
    <t>Actual Gas Price ($/L)</t>
  </si>
  <si>
    <t>Price Increase Needed ($/L)</t>
  </si>
  <si>
    <t>SENSITIVITY ANALYSIS</t>
  </si>
  <si>
    <t>How does Max Justifiable Price Differential change?</t>
  </si>
  <si>
    <t>Annual KM →</t>
  </si>
  <si>
    <t>Gas Price ↓</t>
  </si>
  <si>
    <t>Note: Values show maximum price differential you should pay.</t>
  </si>
  <si>
    <t>What annual KM justifies different price differentials?</t>
  </si>
  <si>
    <t>Price Diff ($) →</t>
  </si>
  <si>
    <t>Note: Values show annual kilometers needed to break even.</t>
  </si>
  <si>
    <t>INSTRUCTIONS</t>
  </si>
  <si>
    <t>1. Select two vehicles from the dropdown menus (rows 6-7)</t>
  </si>
  <si>
    <t>2. Fuel consumption values auto-populate from the Vehicle Data sheet</t>
  </si>
  <si>
    <t>3. Modify blue inputs (rows 15-21) as needed</t>
  </si>
  <si>
    <t>4. Breakeven analysis updates automatically</t>
  </si>
  <si>
    <t>5. View all 650 vehicles on the Vehicle Data tab</t>
  </si>
  <si>
    <t>Model year</t>
  </si>
  <si>
    <t>Make</t>
  </si>
  <si>
    <t>Model</t>
  </si>
  <si>
    <t>Vehicle class</t>
  </si>
  <si>
    <t>Engine size (L)</t>
  </si>
  <si>
    <t>Cylinders</t>
  </si>
  <si>
    <t>Transmission</t>
  </si>
  <si>
    <t>Fuel type</t>
  </si>
  <si>
    <t>City (L/100 km)</t>
  </si>
  <si>
    <t>Highway (L/100 km)</t>
  </si>
  <si>
    <t>Combined (L/100 km)</t>
  </si>
  <si>
    <t>Combined (mpg)</t>
  </si>
  <si>
    <t>CO2 emissions (g/km)</t>
  </si>
  <si>
    <t>CO2 rating</t>
  </si>
  <si>
    <t>Smog rating</t>
  </si>
  <si>
    <t>Vehicle Identifier</t>
  </si>
  <si>
    <t>Combined L/100km</t>
  </si>
  <si>
    <t>Acura</t>
  </si>
  <si>
    <t>Integra A-SPEC</t>
  </si>
  <si>
    <t>Full-size</t>
  </si>
  <si>
    <t>AV7</t>
  </si>
  <si>
    <t>Z</t>
  </si>
  <si>
    <t>Acura - Integra A-SPEC</t>
  </si>
  <si>
    <t>M6</t>
  </si>
  <si>
    <t>Integra Type S</t>
  </si>
  <si>
    <t>Acura - Integra Type S</t>
  </si>
  <si>
    <t>MDX SH-AWD</t>
  </si>
  <si>
    <t>Sport utility vehicle: Small</t>
  </si>
  <si>
    <t>AS10</t>
  </si>
  <si>
    <t>Acura - MDX SH-AWD</t>
  </si>
  <si>
    <t>MDX SH-AWD Type S</t>
  </si>
  <si>
    <t>Sport utility vehicle: Standard</t>
  </si>
  <si>
    <t>Acura - MDX SH-AWD Type S</t>
  </si>
  <si>
    <t>RDX SH-AWD</t>
  </si>
  <si>
    <t>Acura - RDX SH-AWD</t>
  </si>
  <si>
    <t>RDX SH-AWD A-SPEC</t>
  </si>
  <si>
    <t>Acura - RDX SH-AWD A-SPEC</t>
  </si>
  <si>
    <t>TLX SH-AWD A-SPEC</t>
  </si>
  <si>
    <t>Compact</t>
  </si>
  <si>
    <t>Acura - TLX SH-AWD A-SPEC</t>
  </si>
  <si>
    <t>TLX Type S (Performance Tire)</t>
  </si>
  <si>
    <t>Acura - TLX Type S (Performance Tire)</t>
  </si>
  <si>
    <t>Alfa Romeo</t>
  </si>
  <si>
    <t>Giulia</t>
  </si>
  <si>
    <t>Mid-size</t>
  </si>
  <si>
    <t>A8</t>
  </si>
  <si>
    <t>Alfa Romeo - Giulia</t>
  </si>
  <si>
    <t>Giulia AWD</t>
  </si>
  <si>
    <t>Alfa Romeo - Giulia AWD</t>
  </si>
  <si>
    <t>Stelvio AWD</t>
  </si>
  <si>
    <t>Alfa Romeo - Stelvio AWD</t>
  </si>
  <si>
    <t>Tonale AWD</t>
  </si>
  <si>
    <t>A9</t>
  </si>
  <si>
    <t>X</t>
  </si>
  <si>
    <t>Alfa Romeo - Tonale AWD</t>
  </si>
  <si>
    <t>Aston Martin</t>
  </si>
  <si>
    <t>DB12</t>
  </si>
  <si>
    <t>Minicompact</t>
  </si>
  <si>
    <t>Aston Martin - DB12</t>
  </si>
  <si>
    <t>DBX707</t>
  </si>
  <si>
    <t>Aston Martin - DBX707</t>
  </si>
  <si>
    <t>Vantage</t>
  </si>
  <si>
    <t>Two-seater</t>
  </si>
  <si>
    <t>Aston Martin - Vantage</t>
  </si>
  <si>
    <t>Audi</t>
  </si>
  <si>
    <t>A3 40 TFSI quattro</t>
  </si>
  <si>
    <t>Subcompact</t>
  </si>
  <si>
    <t>AM7</t>
  </si>
  <si>
    <t>Audi - A3 40 TFSI quattro</t>
  </si>
  <si>
    <t>A4 45 TFSI quattro</t>
  </si>
  <si>
    <t>Audi - A4 45 TFSI quattro</t>
  </si>
  <si>
    <t>A4 allroad 45 TFSI quattro</t>
  </si>
  <si>
    <t>Station wagon: Small</t>
  </si>
  <si>
    <t>Audi - A4 allroad 45 TFSI quattro</t>
  </si>
  <si>
    <t>A5 Coupé 45 TFSI quattro</t>
  </si>
  <si>
    <t>Audi - A5 Coupé 45 TFSI quattro</t>
  </si>
  <si>
    <t>A5 Sedan quattro</t>
  </si>
  <si>
    <t>Audi - A5 Sedan quattro</t>
  </si>
  <si>
    <t>A5 Sportback 45 TFSI quattro</t>
  </si>
  <si>
    <t>Audi - A5 Sportback 45 TFSI quattro</t>
  </si>
  <si>
    <t>A6 45 TFSI quattro</t>
  </si>
  <si>
    <t>Audi - A6 45 TFSI quattro</t>
  </si>
  <si>
    <t>A6 55 TFSI quattro</t>
  </si>
  <si>
    <t>Audi - A6 55 TFSI quattro</t>
  </si>
  <si>
    <t>A6 allroad 55 TFSI quattro</t>
  </si>
  <si>
    <t>Station wagon: Mid-size</t>
  </si>
  <si>
    <t>Audi - A6 allroad 55 TFSI quattro</t>
  </si>
  <si>
    <t>A7 Sportback</t>
  </si>
  <si>
    <t>Audi - A7 Sportback</t>
  </si>
  <si>
    <t>A8 quattro</t>
  </si>
  <si>
    <t>AS8</t>
  </si>
  <si>
    <t>Audi - A8 quattro</t>
  </si>
  <si>
    <t>Q3 40 TFSI quattro</t>
  </si>
  <si>
    <t>Audi - Q3 40 TFSI quattro</t>
  </si>
  <si>
    <t>Q3 45 TFSI quattro</t>
  </si>
  <si>
    <t>Audi - Q3 45 TFSI quattro</t>
  </si>
  <si>
    <t>Q5 40 TFSI quattro</t>
  </si>
  <si>
    <t>Audi - Q5 40 TFSI quattro</t>
  </si>
  <si>
    <t>Q5 45 TFSI quattro</t>
  </si>
  <si>
    <t>Audi - Q5 45 TFSI quattro</t>
  </si>
  <si>
    <t>Q5 Sportback 45 TFSI quattro</t>
  </si>
  <si>
    <t>Audi - Q5 Sportback 45 TFSI quattro</t>
  </si>
  <si>
    <t>All-new Q5 TFSI quattro</t>
  </si>
  <si>
    <t>Audi - All-new Q5 TFSI quattro</t>
  </si>
  <si>
    <t>All-new Q5 Sportback TFSI quattro</t>
  </si>
  <si>
    <t>Audi - All-new Q5 Sportback TFSI quattro</t>
  </si>
  <si>
    <t>Q7 45 TFSI quattro</t>
  </si>
  <si>
    <t>Audi - Q7 45 TFSI quattro</t>
  </si>
  <si>
    <t>Q7 55 TFSI quattro</t>
  </si>
  <si>
    <t>Audi - Q7 55 TFSI quattro</t>
  </si>
  <si>
    <t>RS 3</t>
  </si>
  <si>
    <t>Audi - RS 3</t>
  </si>
  <si>
    <t>RS 5 Coupé</t>
  </si>
  <si>
    <t>Audi - RS 5 Coupé</t>
  </si>
  <si>
    <t>RS 5 Sportback</t>
  </si>
  <si>
    <t>Audi - RS 5 Sportback</t>
  </si>
  <si>
    <t>RS 6 Avant quattro performance</t>
  </si>
  <si>
    <t>Audi - RS 6 Avant quattro performance</t>
  </si>
  <si>
    <t>RS 6 Avant GT</t>
  </si>
  <si>
    <t>Audi - RS 6 Avant GT</t>
  </si>
  <si>
    <t>RS 7 Sportback quattro performance</t>
  </si>
  <si>
    <t>Audi - RS 7 Sportback quattro performance</t>
  </si>
  <si>
    <t>RS Q8 performance</t>
  </si>
  <si>
    <t>Audi - RS Q8 performance</t>
  </si>
  <si>
    <t>S3 quattro</t>
  </si>
  <si>
    <t>Audi - S3 quattro</t>
  </si>
  <si>
    <t>S4 quattro</t>
  </si>
  <si>
    <t>Audi - S4 quattro</t>
  </si>
  <si>
    <t>S5 Coupé quattro</t>
  </si>
  <si>
    <t>Audi - S5 Coupé quattro</t>
  </si>
  <si>
    <t>S5 Sedan quattro</t>
  </si>
  <si>
    <t>Audi - S5 Sedan quattro</t>
  </si>
  <si>
    <t>S5 Sportback quattro</t>
  </si>
  <si>
    <t>Audi - S5 Sportback quattro</t>
  </si>
  <si>
    <t>S6 quattro</t>
  </si>
  <si>
    <t>Audi - S6 quattro</t>
  </si>
  <si>
    <t>S7 quattro</t>
  </si>
  <si>
    <t>Audi - S7 quattro</t>
  </si>
  <si>
    <t>S8 quattro</t>
  </si>
  <si>
    <t>Audi - S8 quattro</t>
  </si>
  <si>
    <t>SQ5 quattro</t>
  </si>
  <si>
    <t>Audi - SQ5 quattro</t>
  </si>
  <si>
    <t>SQ5 Sportback quattro</t>
  </si>
  <si>
    <t>Audi - SQ5 Sportback quattro</t>
  </si>
  <si>
    <t>All-new SQ5 quattro</t>
  </si>
  <si>
    <t>Audi - All-new SQ5 quattro</t>
  </si>
  <si>
    <t>All-new SQ5 Sportback quattro</t>
  </si>
  <si>
    <t>Audi - All-new SQ5 Sportback quattro</t>
  </si>
  <si>
    <t>SQ7 quattro</t>
  </si>
  <si>
    <t>Audi - SQ7 quattro</t>
  </si>
  <si>
    <t>SQ8 quattro</t>
  </si>
  <si>
    <t>Audi - SQ8 quattro</t>
  </si>
  <si>
    <t>Bentley</t>
  </si>
  <si>
    <t>Bentayga</t>
  </si>
  <si>
    <t>Bentley - Bentayga</t>
  </si>
  <si>
    <t>Bentayga EWB</t>
  </si>
  <si>
    <t>Bentley - Bentayga EWB</t>
  </si>
  <si>
    <t>BMW</t>
  </si>
  <si>
    <t>230i xDrive Coupe</t>
  </si>
  <si>
    <t>BMW - 230i xDrive Coupe</t>
  </si>
  <si>
    <t>330i xDrive Sedan</t>
  </si>
  <si>
    <t>BMW - 330i xDrive Sedan</t>
  </si>
  <si>
    <t>430i xDrive Cabriolet</t>
  </si>
  <si>
    <t>BMW - 430i xDrive Cabriolet</t>
  </si>
  <si>
    <t>430i xDrive Coupe</t>
  </si>
  <si>
    <t>BMW - 430i xDrive Coupe</t>
  </si>
  <si>
    <t>530i xDrive Sedan</t>
  </si>
  <si>
    <t>BMW - 530i xDrive Sedan</t>
  </si>
  <si>
    <t>760i xDrive Sedan</t>
  </si>
  <si>
    <t>BMW - 760i xDrive Sedan</t>
  </si>
  <si>
    <t>ALPINA XB7</t>
  </si>
  <si>
    <t>BMW - ALPINA XB7</t>
  </si>
  <si>
    <t>M2 Coupe</t>
  </si>
  <si>
    <t>BMW - M2 Coupe</t>
  </si>
  <si>
    <t>M240i xDrive Coupe</t>
  </si>
  <si>
    <t>BMW - M240i xDrive Coupe</t>
  </si>
  <si>
    <t>M3 Sedan</t>
  </si>
  <si>
    <t>BMW - M3 Sedan</t>
  </si>
  <si>
    <t>M3 Competition Sedan</t>
  </si>
  <si>
    <t>BMW - M3 Competition Sedan</t>
  </si>
  <si>
    <t>M3 Competition M xDrive Sedan</t>
  </si>
  <si>
    <t>BMW - M3 Competition M xDrive Sedan</t>
  </si>
  <si>
    <t>M340i xDrive Sedan</t>
  </si>
  <si>
    <t>BMW - M340i xDrive Sedan</t>
  </si>
  <si>
    <t>M4 Coupe</t>
  </si>
  <si>
    <t>BMW - M4 Coupe</t>
  </si>
  <si>
    <t>M4 Competition Coupe</t>
  </si>
  <si>
    <t>BMW - M4 Competition Coupe</t>
  </si>
  <si>
    <t>M4 Competition M xDrive Cabriolet</t>
  </si>
  <si>
    <t>BMW - M4 Competition M xDrive Cabriolet</t>
  </si>
  <si>
    <t>M4 Competition M xDrive Coupe</t>
  </si>
  <si>
    <t>BMW - M4 Competition M xDrive Coupe</t>
  </si>
  <si>
    <t>M4 CS Coupe</t>
  </si>
  <si>
    <t>BMW - M4 CS Coupe</t>
  </si>
  <si>
    <t>M440i xDrive Cabriolet</t>
  </si>
  <si>
    <t>BMW - M440i xDrive Cabriolet</t>
  </si>
  <si>
    <t>M440i xDrive Coupe</t>
  </si>
  <si>
    <t>BMW - M440i xDrive Coupe</t>
  </si>
  <si>
    <t>M8 Competition Cabriolet</t>
  </si>
  <si>
    <t>BMW - M8 Competition Cabriolet</t>
  </si>
  <si>
    <t>M8 Competition Coupe</t>
  </si>
  <si>
    <t>BMW - M8 Competition Coupe</t>
  </si>
  <si>
    <t>M8 Competition Gran Coupe</t>
  </si>
  <si>
    <t>BMW - M8 Competition Gran Coupe</t>
  </si>
  <si>
    <t>M850i xDrive Cabriolet</t>
  </si>
  <si>
    <t>BMW - M850i xDrive Cabriolet</t>
  </si>
  <si>
    <t>M850i xDrive Coupe</t>
  </si>
  <si>
    <t>BMW - M850i xDrive Coupe</t>
  </si>
  <si>
    <t>M850i xDrive Gran Coupe</t>
  </si>
  <si>
    <t>BMW - M850i xDrive Gran Coupe</t>
  </si>
  <si>
    <t>X1 xDrive28i</t>
  </si>
  <si>
    <t>BMW - X1 xDrive28i</t>
  </si>
  <si>
    <t>X1 M35i</t>
  </si>
  <si>
    <t>BMW - X1 M35i</t>
  </si>
  <si>
    <t>X2 xDrive28i</t>
  </si>
  <si>
    <t>BMW - X2 xDrive28i</t>
  </si>
  <si>
    <t>X2 M35i</t>
  </si>
  <si>
    <t>BMW - X2 M35i</t>
  </si>
  <si>
    <t>X3 xDrive30i</t>
  </si>
  <si>
    <t>BMW - X3 xDrive30i</t>
  </si>
  <si>
    <t>X3 M50i xDrive</t>
  </si>
  <si>
    <t>BMW - X3 M50i xDrive</t>
  </si>
  <si>
    <t>X4 xDrive30i</t>
  </si>
  <si>
    <t>BMW - X4 xDrive30i</t>
  </si>
  <si>
    <t>X4 M</t>
  </si>
  <si>
    <t>BMW - X4 M</t>
  </si>
  <si>
    <t>X4 M Competition</t>
  </si>
  <si>
    <t>BMW - X4 M Competition</t>
  </si>
  <si>
    <t>X4 M40i xDrive</t>
  </si>
  <si>
    <t>BMW - X4 M40i xDrive</t>
  </si>
  <si>
    <t>X5 xDrive40i</t>
  </si>
  <si>
    <t>BMW - X5 xDrive40i</t>
  </si>
  <si>
    <t>X5 M Competition</t>
  </si>
  <si>
    <t>BMW - X5 M Competition</t>
  </si>
  <si>
    <t>X5 M60i xDrive</t>
  </si>
  <si>
    <t>BMW - X5 M60i xDrive</t>
  </si>
  <si>
    <t>X6 xDrive40i</t>
  </si>
  <si>
    <t>BMW - X6 xDrive40i</t>
  </si>
  <si>
    <t>X6 M Competition</t>
  </si>
  <si>
    <t>BMW - X6 M Competition</t>
  </si>
  <si>
    <t>X6 M60i xDrive</t>
  </si>
  <si>
    <t>BMW - X6 M60i xDrive</t>
  </si>
  <si>
    <t>X7 xDrive40i</t>
  </si>
  <si>
    <t>BMW - X7 xDrive40i</t>
  </si>
  <si>
    <t>X7 M60i xDrive</t>
  </si>
  <si>
    <t>BMW - X7 M60i xDrive</t>
  </si>
  <si>
    <t>Z4 sDrive30i</t>
  </si>
  <si>
    <t>BMW - Z4 sDrive30i</t>
  </si>
  <si>
    <t>Z4 M40i</t>
  </si>
  <si>
    <t>BMW - Z4 M40i</t>
  </si>
  <si>
    <t>Bugatti</t>
  </si>
  <si>
    <t>Mistral</t>
  </si>
  <si>
    <t>Bugatti - Mistral</t>
  </si>
  <si>
    <t>Buick</t>
  </si>
  <si>
    <t>Enclave AWD</t>
  </si>
  <si>
    <t>Buick - Enclave AWD</t>
  </si>
  <si>
    <t>Encore GX</t>
  </si>
  <si>
    <t>AV</t>
  </si>
  <si>
    <t>Buick - Encore GX</t>
  </si>
  <si>
    <t>Encore GX AWD</t>
  </si>
  <si>
    <t>Buick - Encore GX AWD</t>
  </si>
  <si>
    <t>Envision AWD</t>
  </si>
  <si>
    <t>AS9</t>
  </si>
  <si>
    <t>Buick - Envision AWD</t>
  </si>
  <si>
    <t>Envista</t>
  </si>
  <si>
    <t>A6</t>
  </si>
  <si>
    <t>Buick - Envista</t>
  </si>
  <si>
    <t>Cadillac</t>
  </si>
  <si>
    <t>CT4</t>
  </si>
  <si>
    <t>Cadillac - CT4</t>
  </si>
  <si>
    <t>CT4 AWD</t>
  </si>
  <si>
    <t>Cadillac - CT4 AWD</t>
  </si>
  <si>
    <t>CT4-V</t>
  </si>
  <si>
    <t>Cadillac - CT4-V</t>
  </si>
  <si>
    <t>CT4-V AWD</t>
  </si>
  <si>
    <t>Cadillac - CT4-V AWD</t>
  </si>
  <si>
    <t>CT5</t>
  </si>
  <si>
    <t>Cadillac - CT5</t>
  </si>
  <si>
    <t>CT5 AWD</t>
  </si>
  <si>
    <t>Cadillac - CT5 AWD</t>
  </si>
  <si>
    <t>CT5-V</t>
  </si>
  <si>
    <t>Cadillac - CT5-V</t>
  </si>
  <si>
    <t>CT5-V AWD</t>
  </si>
  <si>
    <t>Cadillac - CT5-V AWD</t>
  </si>
  <si>
    <t>Escalade 4WD</t>
  </si>
  <si>
    <t>A10</t>
  </si>
  <si>
    <t>Cadillac - Escalade 4WD</t>
  </si>
  <si>
    <t>Escalade-V AWD</t>
  </si>
  <si>
    <t>Cadillac - Escalade-V AWD</t>
  </si>
  <si>
    <t>XT4 AWD</t>
  </si>
  <si>
    <t>Cadillac - XT4 AWD</t>
  </si>
  <si>
    <t>XT5</t>
  </si>
  <si>
    <t>Cadillac - XT5</t>
  </si>
  <si>
    <t>XT5 AWD</t>
  </si>
  <si>
    <t>Cadillac - XT5 AWD</t>
  </si>
  <si>
    <t>XT6 AWD</t>
  </si>
  <si>
    <t>Cadillac - XT6 AWD</t>
  </si>
  <si>
    <t>Chevrolet</t>
  </si>
  <si>
    <t>Blazer AWD</t>
  </si>
  <si>
    <t>Chevrolet - Blazer AWD</t>
  </si>
  <si>
    <t>Colorado</t>
  </si>
  <si>
    <t>Pickup truck: Standard</t>
  </si>
  <si>
    <t>Chevrolet - Colorado</t>
  </si>
  <si>
    <t>Colorado 4WD</t>
  </si>
  <si>
    <t>Chevrolet - Colorado 4WD</t>
  </si>
  <si>
    <t>Colorado 4WD Mud Terrain Tire</t>
  </si>
  <si>
    <t>Chevrolet - Colorado 4WD Mud Terrain Tire</t>
  </si>
  <si>
    <t>Colorado ZR2 4WD</t>
  </si>
  <si>
    <t>Chevrolet - Colorado ZR2 4WD</t>
  </si>
  <si>
    <t>Colorado ZR2 Bison 4WD</t>
  </si>
  <si>
    <t>Chevrolet - Colorado ZR2 Bison 4WD</t>
  </si>
  <si>
    <t>Corvette</t>
  </si>
  <si>
    <t>Chevrolet - Corvette</t>
  </si>
  <si>
    <t>Corvette E-Ray</t>
  </si>
  <si>
    <t>Chevrolet - Corvette E-Ray</t>
  </si>
  <si>
    <t>Corvette Z06</t>
  </si>
  <si>
    <t>Chevrolet - Corvette Z06</t>
  </si>
  <si>
    <t>Corvette Z06 Carbon Aero</t>
  </si>
  <si>
    <t>Chevrolet - Corvette Z06 Carbon Aero</t>
  </si>
  <si>
    <t>Corvette ZR1</t>
  </si>
  <si>
    <t>Chevrolet - Corvette ZR1</t>
  </si>
  <si>
    <t>Equinox</t>
  </si>
  <si>
    <t>Chevrolet - Equinox</t>
  </si>
  <si>
    <t>Equinox AWD</t>
  </si>
  <si>
    <t>Chevrolet - Equinox AWD</t>
  </si>
  <si>
    <t>Malibu</t>
  </si>
  <si>
    <t>Chevrolet - Malibu</t>
  </si>
  <si>
    <t>Silverado</t>
  </si>
  <si>
    <t>Chevrolet - Silverado</t>
  </si>
  <si>
    <t>D</t>
  </si>
  <si>
    <t>Silverado 4WD</t>
  </si>
  <si>
    <t>Chevrolet - Silverado 4WD</t>
  </si>
  <si>
    <t>Silverado 4WD Mud Terrain Tire</t>
  </si>
  <si>
    <t>Chevrolet - Silverado 4WD Mud Terrain Tire</t>
  </si>
  <si>
    <t>Silverado 4WD (With Sport Mode)</t>
  </si>
  <si>
    <t>Chevrolet - Silverado 4WD (With Sport Mode)</t>
  </si>
  <si>
    <t>Silverado 4WD FFV</t>
  </si>
  <si>
    <t>Chevrolet - Silverado 4WD FFV</t>
  </si>
  <si>
    <t>E</t>
  </si>
  <si>
    <t>Silverado 4WD ZR2</t>
  </si>
  <si>
    <t>Chevrolet - Silverado 4WD ZR2</t>
  </si>
  <si>
    <t>Suburban</t>
  </si>
  <si>
    <t>Chevrolet - Suburban</t>
  </si>
  <si>
    <t>Suburban 4WD</t>
  </si>
  <si>
    <t>Chevrolet - Suburban 4WD</t>
  </si>
  <si>
    <t>Tahoe</t>
  </si>
  <si>
    <t>Chevrolet - Tahoe</t>
  </si>
  <si>
    <t>Tahoe 4WD</t>
  </si>
  <si>
    <t>Chevrolet - Tahoe 4WD</t>
  </si>
  <si>
    <t>Trailblazer</t>
  </si>
  <si>
    <t>Chevrolet - Trailblazer</t>
  </si>
  <si>
    <t>Trailblazer AWD</t>
  </si>
  <si>
    <t>Chevrolet - Trailblazer AWD</t>
  </si>
  <si>
    <t>Traverse AWD</t>
  </si>
  <si>
    <t>Chevrolet - Traverse AWD</t>
  </si>
  <si>
    <t>Trax</t>
  </si>
  <si>
    <t>Chevrolet - Trax</t>
  </si>
  <si>
    <t>Chrysler</t>
  </si>
  <si>
    <t>Grand Caravan</t>
  </si>
  <si>
    <t>Minivan</t>
  </si>
  <si>
    <t>Chrysler - Grand Caravan</t>
  </si>
  <si>
    <t>Pacifica</t>
  </si>
  <si>
    <t>Chrysler - Pacifica</t>
  </si>
  <si>
    <t>Pacifica AWD</t>
  </si>
  <si>
    <t>Chrysler - Pacifica AWD</t>
  </si>
  <si>
    <t>Dodge</t>
  </si>
  <si>
    <t>Durango AWD</t>
  </si>
  <si>
    <t>Dodge - Durango AWD</t>
  </si>
  <si>
    <t>Durango AWD SRT Hellcat</t>
  </si>
  <si>
    <t>Dodge - Durango AWD SRT Hellcat</t>
  </si>
  <si>
    <t>Hornet AWD</t>
  </si>
  <si>
    <t>Dodge - Hornet AWD</t>
  </si>
  <si>
    <t>Ferrari</t>
  </si>
  <si>
    <t>12Cilindri</t>
  </si>
  <si>
    <t>AM8</t>
  </si>
  <si>
    <t>Ferrari - 12Cilindri</t>
  </si>
  <si>
    <t>12Cilindri Spider</t>
  </si>
  <si>
    <t>Ferrari - 12Cilindri Spider</t>
  </si>
  <si>
    <t>Daytona SP3</t>
  </si>
  <si>
    <t>Ferrari - Daytona SP3</t>
  </si>
  <si>
    <t>Purosangue</t>
  </si>
  <si>
    <t>Ferrari - Purosangue</t>
  </si>
  <si>
    <t>Roma Spider</t>
  </si>
  <si>
    <t>Ferrari - Roma Spider</t>
  </si>
  <si>
    <t>Ford</t>
  </si>
  <si>
    <t>Bronco 4WD</t>
  </si>
  <si>
    <t>Ford - Bronco 4WD</t>
  </si>
  <si>
    <t>M7</t>
  </si>
  <si>
    <t>Bronco 4WD (With Sport Mode)</t>
  </si>
  <si>
    <t>Ford - Bronco 4WD (With Sport Mode)</t>
  </si>
  <si>
    <t>Bronco Badlands 4WD</t>
  </si>
  <si>
    <t>Ford - Bronco Badlands 4WD</t>
  </si>
  <si>
    <t>Bronco Outer Banks 4WD</t>
  </si>
  <si>
    <t>Ford - Bronco Outer Banks 4WD</t>
  </si>
  <si>
    <t>Bronco Sasquatch 4WD</t>
  </si>
  <si>
    <t>Ford - Bronco Sasquatch 4WD</t>
  </si>
  <si>
    <t>Bronco Sport 4WD</t>
  </si>
  <si>
    <t>Ford - Bronco Sport 4WD</t>
  </si>
  <si>
    <t>Bronco Sport Sasquatch</t>
  </si>
  <si>
    <t>Ford - Bronco Sport Sasquatch</t>
  </si>
  <si>
    <t>Escape</t>
  </si>
  <si>
    <t>Ford - Escape</t>
  </si>
  <si>
    <t>Escape AWD</t>
  </si>
  <si>
    <t>Ford - Escape AWD</t>
  </si>
  <si>
    <t>Escape Hybrid</t>
  </si>
  <si>
    <t>Ford - Escape Hybrid</t>
  </si>
  <si>
    <t>Escape Hybrid AWD</t>
  </si>
  <si>
    <t>Ford - Escape Hybrid AWD</t>
  </si>
  <si>
    <t>Expedition 4WD</t>
  </si>
  <si>
    <t>Ford - Expedition 4WD</t>
  </si>
  <si>
    <t>Explorer AWD</t>
  </si>
  <si>
    <t>Ford - Explorer AWD</t>
  </si>
  <si>
    <t>F-150</t>
  </si>
  <si>
    <t>Ford - F-150</t>
  </si>
  <si>
    <t>F-150 4X4</t>
  </si>
  <si>
    <t>Ford - F-150 4X4</t>
  </si>
  <si>
    <t>F-150 Hybrid 4X4</t>
  </si>
  <si>
    <t>Ford - F-150 Hybrid 4X4</t>
  </si>
  <si>
    <t>F-150 Tremor 4X4</t>
  </si>
  <si>
    <t>Ford - F-150 Tremor 4X4</t>
  </si>
  <si>
    <t>F-150 Raptor 4X4</t>
  </si>
  <si>
    <t>Ford - F-150 Raptor 4X4</t>
  </si>
  <si>
    <t>F-150 Raptor R 4X4</t>
  </si>
  <si>
    <t>Ford - F-150 Raptor R 4X4</t>
  </si>
  <si>
    <t>Maverick AWD</t>
  </si>
  <si>
    <t>Pickup truck: Small</t>
  </si>
  <si>
    <t>Ford - Maverick AWD</t>
  </si>
  <si>
    <t>Maverick Lobo</t>
  </si>
  <si>
    <t>Ford - Maverick Lobo</t>
  </si>
  <si>
    <t>Maverick Tremor AWD</t>
  </si>
  <si>
    <t>Ford - Maverick Tremor AWD</t>
  </si>
  <si>
    <t>Maverick Hybrid</t>
  </si>
  <si>
    <t>Ford - Maverick Hybrid</t>
  </si>
  <si>
    <t>Maverick Hybrid AWD</t>
  </si>
  <si>
    <t>Ford - Maverick Hybrid AWD</t>
  </si>
  <si>
    <t>Mustang</t>
  </si>
  <si>
    <t>Ford - Mustang</t>
  </si>
  <si>
    <t>Mustang Dark Horse</t>
  </si>
  <si>
    <t>Ford - Mustang Dark Horse</t>
  </si>
  <si>
    <t>Mustang GTD</t>
  </si>
  <si>
    <t>Ford - Mustang GTD</t>
  </si>
  <si>
    <t>Ranger 4WD</t>
  </si>
  <si>
    <t>Ford - Ranger 4WD</t>
  </si>
  <si>
    <t>Ranger Raptor 4WD</t>
  </si>
  <si>
    <t>Ford - Ranger Raptor 4WD</t>
  </si>
  <si>
    <t>Genesis</t>
  </si>
  <si>
    <t>G70 AWD</t>
  </si>
  <si>
    <t>Genesis - G70 AWD</t>
  </si>
  <si>
    <t>G80 AWD</t>
  </si>
  <si>
    <t>Genesis - G80 AWD</t>
  </si>
  <si>
    <t>G90</t>
  </si>
  <si>
    <t>Genesis - G90</t>
  </si>
  <si>
    <t>GV70 AWD</t>
  </si>
  <si>
    <t>Genesis - GV70 AWD</t>
  </si>
  <si>
    <t>GV80</t>
  </si>
  <si>
    <t>Genesis - GV80</t>
  </si>
  <si>
    <t>GV80 AWD</t>
  </si>
  <si>
    <t>Genesis - GV80 AWD</t>
  </si>
  <si>
    <t>GMC</t>
  </si>
  <si>
    <t>Acadia AWD</t>
  </si>
  <si>
    <t>GMC - Acadia AWD</t>
  </si>
  <si>
    <t>Canyon</t>
  </si>
  <si>
    <t>GMC - Canyon</t>
  </si>
  <si>
    <t>Canyon 4WD</t>
  </si>
  <si>
    <t>GMC - Canyon 4WD</t>
  </si>
  <si>
    <t>Canyon AT4X 4WD</t>
  </si>
  <si>
    <t>GMC - Canyon AT4X 4WD</t>
  </si>
  <si>
    <t>Canyon AT4X AEV 4WD</t>
  </si>
  <si>
    <t>GMC - Canyon AT4X AEV 4WD</t>
  </si>
  <si>
    <t>Sierra</t>
  </si>
  <si>
    <t>GMC - Sierra</t>
  </si>
  <si>
    <t>Sierra 4WD</t>
  </si>
  <si>
    <t>GMC - Sierra 4WD</t>
  </si>
  <si>
    <t>Sierra 4WD (With Sport Mode)</t>
  </si>
  <si>
    <t>GMC - Sierra 4WD (With Sport Mode)</t>
  </si>
  <si>
    <t>Sierra 4WD Mud Terrain Tire</t>
  </si>
  <si>
    <t>GMC - Sierra 4WD Mud Terrain Tire</t>
  </si>
  <si>
    <t>Sierra 4WD FFV</t>
  </si>
  <si>
    <t>GMC - Sierra 4WD FFV</t>
  </si>
  <si>
    <t>Sierra 4WD AT4X</t>
  </si>
  <si>
    <t>GMC - Sierra 4WD AT4X</t>
  </si>
  <si>
    <t>Terrain</t>
  </si>
  <si>
    <t>GMC - Terrain</t>
  </si>
  <si>
    <t>Terrain AWD</t>
  </si>
  <si>
    <t>GMC - Terrain AWD</t>
  </si>
  <si>
    <t>Yukon</t>
  </si>
  <si>
    <t>GMC - Yukon</t>
  </si>
  <si>
    <t>Yukon 4WD</t>
  </si>
  <si>
    <t>GMC - Yukon 4WD</t>
  </si>
  <si>
    <t>Yukon XL</t>
  </si>
  <si>
    <t>GMC - Yukon XL</t>
  </si>
  <si>
    <t>Yukon XL 4WD</t>
  </si>
  <si>
    <t>GMC - Yukon XL 4WD</t>
  </si>
  <si>
    <t>Honda</t>
  </si>
  <si>
    <t>Accord</t>
  </si>
  <si>
    <t>Honda - Accord</t>
  </si>
  <si>
    <t>Accord Hybrid Sport/Touring</t>
  </si>
  <si>
    <t>Honda - Accord Hybrid Sport/Touring</t>
  </si>
  <si>
    <t>Civic Hatchback</t>
  </si>
  <si>
    <t>Honda - Civic Hatchback</t>
  </si>
  <si>
    <t>Civic Hatchback Hybrid</t>
  </si>
  <si>
    <t>Honda - Civic Hatchback Hybrid</t>
  </si>
  <si>
    <t>Civic Sedan</t>
  </si>
  <si>
    <t>Honda - Civic Sedan</t>
  </si>
  <si>
    <t>Civic Sedan Hybrid</t>
  </si>
  <si>
    <t>Honda - Civic Sedan Hybrid</t>
  </si>
  <si>
    <t>Civic Sedan Si</t>
  </si>
  <si>
    <t>Honda - Civic Sedan Si</t>
  </si>
  <si>
    <t>Civic Type R</t>
  </si>
  <si>
    <t>Honda - Civic Type R</t>
  </si>
  <si>
    <t>CR-V</t>
  </si>
  <si>
    <t>Honda - CR-V</t>
  </si>
  <si>
    <t>CR-V AWD</t>
  </si>
  <si>
    <t>Honda - CR-V AWD</t>
  </si>
  <si>
    <t>CR-V Hybrid AWD</t>
  </si>
  <si>
    <t>Honda - CR-V Hybrid AWD</t>
  </si>
  <si>
    <t>HR-V</t>
  </si>
  <si>
    <t>Honda - HR-V</t>
  </si>
  <si>
    <t>HR-V AWD</t>
  </si>
  <si>
    <t>Honda - HR-V AWD</t>
  </si>
  <si>
    <t>Odyssey</t>
  </si>
  <si>
    <t>Honda - Odyssey</t>
  </si>
  <si>
    <t>Passport AWD</t>
  </si>
  <si>
    <t>Honda - Passport AWD</t>
  </si>
  <si>
    <t>Pilot AWD</t>
  </si>
  <si>
    <t>Honda - Pilot AWD</t>
  </si>
  <si>
    <t>Pilot AWD Touring/Elite/Black</t>
  </si>
  <si>
    <t>Honda - Pilot AWD Touring/Elite/Black</t>
  </si>
  <si>
    <t>Pilot AWD TrailSport</t>
  </si>
  <si>
    <t>Honda - Pilot AWD TrailSport</t>
  </si>
  <si>
    <t>Ridgeline AWD</t>
  </si>
  <si>
    <t>Honda - Ridgeline AWD</t>
  </si>
  <si>
    <t>Ridgeline AWD TrailSport</t>
  </si>
  <si>
    <t>Honda - Ridgeline AWD TrailSport</t>
  </si>
  <si>
    <t>Hyundai</t>
  </si>
  <si>
    <t>Elantra</t>
  </si>
  <si>
    <t>Hyundai - Elantra</t>
  </si>
  <si>
    <t>AV1</t>
  </si>
  <si>
    <t>Elantra (Stop/Start)</t>
  </si>
  <si>
    <t>Hyundai - Elantra (Stop/Start)</t>
  </si>
  <si>
    <t>Elantra Hybrid</t>
  </si>
  <si>
    <t>AM6</t>
  </si>
  <si>
    <t>Hyundai - Elantra Hybrid</t>
  </si>
  <si>
    <t>Elantra N</t>
  </si>
  <si>
    <t>Hyundai - Elantra N</t>
  </si>
  <si>
    <t>Kona</t>
  </si>
  <si>
    <t>Hyundai - Kona</t>
  </si>
  <si>
    <t>Kona (Stop/Start)</t>
  </si>
  <si>
    <t>Hyundai - Kona (Stop/Start)</t>
  </si>
  <si>
    <t>Kona AWD</t>
  </si>
  <si>
    <t>Hyundai - Kona AWD</t>
  </si>
  <si>
    <t>Kona AWD (Stop/Start)</t>
  </si>
  <si>
    <t>Hyundai - Kona AWD (Stop/Start)</t>
  </si>
  <si>
    <t>Palisade AWD</t>
  </si>
  <si>
    <t>Hyundai - Palisade AWD</t>
  </si>
  <si>
    <t>Santa Cruz AWD</t>
  </si>
  <si>
    <t>Hyundai - Santa Cruz AWD</t>
  </si>
  <si>
    <t>Santa Cruz AWD XRT</t>
  </si>
  <si>
    <t>Hyundai - Santa Cruz AWD XRT</t>
  </si>
  <si>
    <t>Santa Fe AWD</t>
  </si>
  <si>
    <t>Hyundai - Santa Fe AWD</t>
  </si>
  <si>
    <t>Santa Fe AWD XRT</t>
  </si>
  <si>
    <t>Hyundai - Santa Fe AWD XRT</t>
  </si>
  <si>
    <t>Santa Fe Hybrid AWD</t>
  </si>
  <si>
    <t>Hyundai - Santa Fe Hybrid AWD</t>
  </si>
  <si>
    <t>Sonata</t>
  </si>
  <si>
    <t>Hyundai - Sonata</t>
  </si>
  <si>
    <t>Sonata AWD</t>
  </si>
  <si>
    <t>Hyundai - Sonata AWD</t>
  </si>
  <si>
    <t>Sonata Hybrid</t>
  </si>
  <si>
    <t>Hyundai - Sonata Hybrid</t>
  </si>
  <si>
    <t>Tucson AWD</t>
  </si>
  <si>
    <t>Hyundai - Tucson AWD</t>
  </si>
  <si>
    <t>Tucson Hybrid</t>
  </si>
  <si>
    <t>Hyundai - Tucson Hybrid</t>
  </si>
  <si>
    <t>Venue</t>
  </si>
  <si>
    <t>Hyundai - Venue</t>
  </si>
  <si>
    <t>Infiniti</t>
  </si>
  <si>
    <t>QX50 AWD</t>
  </si>
  <si>
    <t>AV8</t>
  </si>
  <si>
    <t>Infiniti - QX50 AWD</t>
  </si>
  <si>
    <t>QX55 AWD</t>
  </si>
  <si>
    <t>Infiniti - QX55 AWD</t>
  </si>
  <si>
    <t>QX60 AWD</t>
  </si>
  <si>
    <t>Infiniti - QX60 AWD</t>
  </si>
  <si>
    <t>QX80 4WD</t>
  </si>
  <si>
    <t>Infiniti - QX80 4WD</t>
  </si>
  <si>
    <t>Jaguar</t>
  </si>
  <si>
    <t>F-Pace P250</t>
  </si>
  <si>
    <t>Jaguar - F-Pace P250</t>
  </si>
  <si>
    <t>F-Pace P400</t>
  </si>
  <si>
    <t>Jaguar - F-Pace P400</t>
  </si>
  <si>
    <t>F-Pace P550 SVR</t>
  </si>
  <si>
    <t>Jaguar - F-Pace P550 SVR</t>
  </si>
  <si>
    <t>Jeep</t>
  </si>
  <si>
    <t>Compass 4X4</t>
  </si>
  <si>
    <t>Jeep - Compass 4X4</t>
  </si>
  <si>
    <t>Gladiator 4X4</t>
  </si>
  <si>
    <t>Jeep - Gladiator 4X4</t>
  </si>
  <si>
    <t>Grand Cherokee 4X4</t>
  </si>
  <si>
    <t>Jeep - Grand Cherokee 4X4</t>
  </si>
  <si>
    <t>Grand Cherokee L 4X4</t>
  </si>
  <si>
    <t>Jeep - Grand Cherokee L 4X4</t>
  </si>
  <si>
    <t>Grand Wagoneer 4X4 (High Output)</t>
  </si>
  <si>
    <t>Jeep - Grand Wagoneer 4X4 (High Output)</t>
  </si>
  <si>
    <t>Grand Wagoneer L 4X4 (High Output)</t>
  </si>
  <si>
    <t>Jeep - Grand Wagoneer L 4X4 (High Output)</t>
  </si>
  <si>
    <t>Wagoneer 4X4</t>
  </si>
  <si>
    <t>Jeep - Wagoneer 4X4</t>
  </si>
  <si>
    <t>Wagoneer L 4X4</t>
  </si>
  <si>
    <t>Jeep - Wagoneer L 4X4</t>
  </si>
  <si>
    <t>Wrangler JL 4X4</t>
  </si>
  <si>
    <t>Jeep - Wrangler JL 4X4</t>
  </si>
  <si>
    <t>Wrangler JL Unlimited 4X4</t>
  </si>
  <si>
    <t>Jeep - Wrangler JL Unlimited 4X4</t>
  </si>
  <si>
    <t>Kia</t>
  </si>
  <si>
    <t>Carnival</t>
  </si>
  <si>
    <t>Kia - Carnival</t>
  </si>
  <si>
    <t>Carnival Hybrid</t>
  </si>
  <si>
    <t>Kia - Carnival Hybrid</t>
  </si>
  <si>
    <t>K4</t>
  </si>
  <si>
    <t>Kia - K4</t>
  </si>
  <si>
    <t>K4 (Without DMS)</t>
  </si>
  <si>
    <t>Kia - K4 (Without DMS)</t>
  </si>
  <si>
    <t>Niro</t>
  </si>
  <si>
    <t>Kia - Niro</t>
  </si>
  <si>
    <t>Niro FE</t>
  </si>
  <si>
    <t>Kia - Niro FE</t>
  </si>
  <si>
    <t>Seltos</t>
  </si>
  <si>
    <t>Kia - Seltos</t>
  </si>
  <si>
    <t>Seltos AWD</t>
  </si>
  <si>
    <t>Kia - Seltos AWD</t>
  </si>
  <si>
    <t>Sorento AWD</t>
  </si>
  <si>
    <t>Kia - Sorento AWD</t>
  </si>
  <si>
    <t>Sorento Hybrid AWD</t>
  </si>
  <si>
    <t>AS6</t>
  </si>
  <si>
    <t>Kia - Sorento Hybrid AWD</t>
  </si>
  <si>
    <t>Soul</t>
  </si>
  <si>
    <t>Kia - Soul</t>
  </si>
  <si>
    <t>Sportage</t>
  </si>
  <si>
    <t>Kia - Sportage</t>
  </si>
  <si>
    <t>Sportage AWD</t>
  </si>
  <si>
    <t>Kia - Sportage AWD</t>
  </si>
  <si>
    <t>Sportage Hybrid AWD</t>
  </si>
  <si>
    <t>Kia - Sportage Hybrid AWD</t>
  </si>
  <si>
    <t>Telluride AWD</t>
  </si>
  <si>
    <t>Kia - Telluride AWD</t>
  </si>
  <si>
    <t>Land Rover</t>
  </si>
  <si>
    <t>Defender 90 P300</t>
  </si>
  <si>
    <t>Land Rover - Defender 90 P300</t>
  </si>
  <si>
    <t>Defender 110 P300</t>
  </si>
  <si>
    <t>Land Rover - Defender 110 P300</t>
  </si>
  <si>
    <t>Discovery P300</t>
  </si>
  <si>
    <t>Land Rover - Discovery P300</t>
  </si>
  <si>
    <t>Discovery P360</t>
  </si>
  <si>
    <t>Land Rover - Discovery P360</t>
  </si>
  <si>
    <t>Discovery Sport P250</t>
  </si>
  <si>
    <t>Land Rover - Discovery Sport P250</t>
  </si>
  <si>
    <t>Range Rover P530</t>
  </si>
  <si>
    <t>Land Rover - Range Rover P530</t>
  </si>
  <si>
    <t>Range Rover P530 LWB</t>
  </si>
  <si>
    <t>Land Rover - Range Rover P530 LWB</t>
  </si>
  <si>
    <t>Range Rover SV P615</t>
  </si>
  <si>
    <t>Land Rover - Range Rover SV P615</t>
  </si>
  <si>
    <t>Range Rover SV P615 LWB</t>
  </si>
  <si>
    <t>Land Rover - Range Rover SV P615 LWB</t>
  </si>
  <si>
    <t>Range Rover Sport P530</t>
  </si>
  <si>
    <t>Land Rover - Range Rover Sport P530</t>
  </si>
  <si>
    <t>Range Rover Sport SV P635</t>
  </si>
  <si>
    <t>Land Rover - Range Rover Sport SV P635</t>
  </si>
  <si>
    <t>Range Rover Evoque P250</t>
  </si>
  <si>
    <t>Land Rover - Range Rover Evoque P250</t>
  </si>
  <si>
    <t>Range Rover Velar P250</t>
  </si>
  <si>
    <t>Land Rover - Range Rover Velar P250</t>
  </si>
  <si>
    <t>Range Rover Velar P340</t>
  </si>
  <si>
    <t>Land Rover - Range Rover Velar P340</t>
  </si>
  <si>
    <t>Range Rover Velar P400</t>
  </si>
  <si>
    <t>Land Rover - Range Rover Velar P400</t>
  </si>
  <si>
    <t>Lexus</t>
  </si>
  <si>
    <t>ES 250 AWD</t>
  </si>
  <si>
    <t>Lexus - ES 250 AWD</t>
  </si>
  <si>
    <t>ES 300h</t>
  </si>
  <si>
    <t>AV6</t>
  </si>
  <si>
    <t>Lexus - ES 300h</t>
  </si>
  <si>
    <t>ES 350</t>
  </si>
  <si>
    <t>Lexus - ES 350</t>
  </si>
  <si>
    <t>ES 350 F SPORT</t>
  </si>
  <si>
    <t>Lexus - ES 350 F SPORT</t>
  </si>
  <si>
    <t>GX 550</t>
  </si>
  <si>
    <t>Lexus - GX 550</t>
  </si>
  <si>
    <t>IS 300 AWD</t>
  </si>
  <si>
    <t>Lexus - IS 300 AWD</t>
  </si>
  <si>
    <t>IS 350 AWD</t>
  </si>
  <si>
    <t>Lexus - IS 350 AWD</t>
  </si>
  <si>
    <t>IS 500</t>
  </si>
  <si>
    <t>Lexus - IS 500</t>
  </si>
  <si>
    <t>LC 500</t>
  </si>
  <si>
    <t>Lexus - LC 500</t>
  </si>
  <si>
    <t>LC 500 Convertible</t>
  </si>
  <si>
    <t>Lexus - LC 500 Convertible</t>
  </si>
  <si>
    <t>LC 500h</t>
  </si>
  <si>
    <t>AV10</t>
  </si>
  <si>
    <t>Lexus - LC 500h</t>
  </si>
  <si>
    <t>LS 500 AWD</t>
  </si>
  <si>
    <t>Lexus - LS 500 AWD</t>
  </si>
  <si>
    <t>LS 500h AWD</t>
  </si>
  <si>
    <t>Lexus - LS 500h AWD</t>
  </si>
  <si>
    <t>LX 600</t>
  </si>
  <si>
    <t>Lexus - LX 600</t>
  </si>
  <si>
    <t>LX 700h</t>
  </si>
  <si>
    <t>Lexus - LX 700h</t>
  </si>
  <si>
    <t>NX 250 AWD</t>
  </si>
  <si>
    <t>Lexus - NX 250 AWD</t>
  </si>
  <si>
    <t>NX 350 AWD</t>
  </si>
  <si>
    <t>Lexus - NX 350 AWD</t>
  </si>
  <si>
    <t>NX 350 AWD F SPORT</t>
  </si>
  <si>
    <t>Lexus - NX 350 AWD F SPORT</t>
  </si>
  <si>
    <t>NX 350h AWD</t>
  </si>
  <si>
    <t>Lexus - NX 350h AWD</t>
  </si>
  <si>
    <t>RC 300 AWD</t>
  </si>
  <si>
    <t>Lexus - RC 300 AWD</t>
  </si>
  <si>
    <t>RC 350 AWD</t>
  </si>
  <si>
    <t>Lexus - RC 350 AWD</t>
  </si>
  <si>
    <t>RC F</t>
  </si>
  <si>
    <t>Lexus - RC F</t>
  </si>
  <si>
    <t>RX 350 AWD</t>
  </si>
  <si>
    <t>Lexus - RX 350 AWD</t>
  </si>
  <si>
    <t>RX 350h AWD</t>
  </si>
  <si>
    <t>Lexus - RX 350h AWD</t>
  </si>
  <si>
    <t>RX 500h AWD</t>
  </si>
  <si>
    <t>Lexus - RX 500h AWD</t>
  </si>
  <si>
    <t>TX 350 AWD</t>
  </si>
  <si>
    <t>Lexus - TX 350 AWD</t>
  </si>
  <si>
    <t>TX 500h AWD</t>
  </si>
  <si>
    <t>Lexus - TX 500h AWD</t>
  </si>
  <si>
    <t>UX 300h AWD</t>
  </si>
  <si>
    <t>Lexus - UX 300h AWD</t>
  </si>
  <si>
    <t>Lincoln</t>
  </si>
  <si>
    <t>Aviator AWD</t>
  </si>
  <si>
    <t>Lincoln - Aviator AWD</t>
  </si>
  <si>
    <t>Corsair AWD</t>
  </si>
  <si>
    <t>Lincoln - Corsair AWD</t>
  </si>
  <si>
    <t>Nautilus AWD</t>
  </si>
  <si>
    <t>Lincoln - Nautilus AWD</t>
  </si>
  <si>
    <t>Nautilus Hybrid AWD</t>
  </si>
  <si>
    <t>Lincoln - Nautilus Hybrid AWD</t>
  </si>
  <si>
    <t>Navigator 4WD</t>
  </si>
  <si>
    <t>Lincoln - Navigator 4WD</t>
  </si>
  <si>
    <t>Mazda</t>
  </si>
  <si>
    <t>CX-30 4WD</t>
  </si>
  <si>
    <t>Mazda - CX-30 4WD</t>
  </si>
  <si>
    <t>CX-30 Turbo 4WD</t>
  </si>
  <si>
    <t>Mazda - CX-30 Turbo 4WD</t>
  </si>
  <si>
    <t>CX-5 4WD</t>
  </si>
  <si>
    <t>Mazda - CX-5 4WD</t>
  </si>
  <si>
    <t>CX-5 4WD (Cylinder Deactivation)</t>
  </si>
  <si>
    <t>Mazda - CX-5 4WD (Cylinder Deactivation)</t>
  </si>
  <si>
    <t>CX-5 Turbo 4WD</t>
  </si>
  <si>
    <t>Mazda - CX-5 Turbo 4WD</t>
  </si>
  <si>
    <t>CX-50 4WD</t>
  </si>
  <si>
    <t>Mazda - CX-50 4WD</t>
  </si>
  <si>
    <t>CX-50 Turbo 4WD</t>
  </si>
  <si>
    <t>Mazda - CX-50 Turbo 4WD</t>
  </si>
  <si>
    <t>CX-50 Hybrid 4WD</t>
  </si>
  <si>
    <t>Mazda - CX-50 Hybrid 4WD</t>
  </si>
  <si>
    <t>CX-70 4WD</t>
  </si>
  <si>
    <t>Mazda - CX-70 4WD</t>
  </si>
  <si>
    <t>CX-70 4WD (High Power)</t>
  </si>
  <si>
    <t>Mazda - CX-70 4WD (High Power)</t>
  </si>
  <si>
    <t>CX-90 4WD</t>
  </si>
  <si>
    <t>Mazda - CX-90 4WD</t>
  </si>
  <si>
    <t>CX-90 4WD (High Power)</t>
  </si>
  <si>
    <t>Mazda - CX-90 4WD (High Power)</t>
  </si>
  <si>
    <t>Mazda3 4-Door</t>
  </si>
  <si>
    <t>Mazda - Mazda3 4-Door</t>
  </si>
  <si>
    <t>Mazda3 4-Door 4WD</t>
  </si>
  <si>
    <t>Mazda - Mazda3 4-Door 4WD</t>
  </si>
  <si>
    <t>Mazda3 4-Door Turbo 4WD</t>
  </si>
  <si>
    <t>Mazda - Mazda3 4-Door Turbo 4WD</t>
  </si>
  <si>
    <t>Mazda3 5-Door</t>
  </si>
  <si>
    <t>Mazda - Mazda3 5-Door</t>
  </si>
  <si>
    <t>Mazda3 5-Door (SIL)</t>
  </si>
  <si>
    <t>Mazda - Mazda3 5-Door (SIL)</t>
  </si>
  <si>
    <t>Mazda3 5-Door 4WD</t>
  </si>
  <si>
    <t>Mazda - Mazda3 5-Door 4WD</t>
  </si>
  <si>
    <t>Mazda3 5-Door Turbo 4WD</t>
  </si>
  <si>
    <t>Mazda - Mazda3 5-Door Turbo 4WD</t>
  </si>
  <si>
    <t>MX-5</t>
  </si>
  <si>
    <t>Mazda - MX-5</t>
  </si>
  <si>
    <t>MX-5 (SIL)</t>
  </si>
  <si>
    <t>Mazda - MX-5 (SIL)</t>
  </si>
  <si>
    <t>Mercedes-Benz</t>
  </si>
  <si>
    <t>AMG C 43 4MATIC Sedan</t>
  </si>
  <si>
    <t>Mercedes-Benz - AMG C 43 4MATIC Sedan</t>
  </si>
  <si>
    <t>AMG CLA 35 4MATIC Coupe</t>
  </si>
  <si>
    <t>Mercedes-Benz - AMG CLA 35 4MATIC Coupe</t>
  </si>
  <si>
    <t>AMG CLA 45 S 4MATIC Coupe</t>
  </si>
  <si>
    <t>Mercedes-Benz - AMG CLA 45 S 4MATIC Coupe</t>
  </si>
  <si>
    <t>AMG CLE 53 4MATIC+ Cabriolet</t>
  </si>
  <si>
    <t>Mercedes-Benz - AMG CLE 53 4MATIC+ Cabriolet</t>
  </si>
  <si>
    <t>AMG CLE 53 4MATIC+ Coupe</t>
  </si>
  <si>
    <t>Mercedes-Benz - AMG CLE 53 4MATIC+ Coupe</t>
  </si>
  <si>
    <t>AMG G 63 SUV</t>
  </si>
  <si>
    <t>Mercedes-Benz - AMG G 63 SUV</t>
  </si>
  <si>
    <t>AMG GLA 35 4MATIC Coupe</t>
  </si>
  <si>
    <t>Mercedes-Benz - AMG GLA 35 4MATIC Coupe</t>
  </si>
  <si>
    <t>AMG GLB 35 4MATIC Coupe</t>
  </si>
  <si>
    <t>Mercedes-Benz - AMG GLB 35 4MATIC Coupe</t>
  </si>
  <si>
    <t>AMG GLC 43 4MATIC+ SUV</t>
  </si>
  <si>
    <t>Mercedes-Benz - AMG GLC 43 4MATIC+ SUV</t>
  </si>
  <si>
    <t>AMG GLC 43 4MATIC Coupe</t>
  </si>
  <si>
    <t>Mercedes-Benz - AMG GLC 43 4MATIC Coupe</t>
  </si>
  <si>
    <t>AMG GLE 53 4MATIC+ SUV</t>
  </si>
  <si>
    <t>Mercedes-Benz - AMG GLE 53 4MATIC+ SUV</t>
  </si>
  <si>
    <t>AMG GLE 53 4MATIC+ Coupe</t>
  </si>
  <si>
    <t>Mercedes-Benz - AMG GLE 53 4MATIC+ Coupe</t>
  </si>
  <si>
    <t>AMG GLE 63 S 4MATIC+ SUV</t>
  </si>
  <si>
    <t>Mercedes-Benz - AMG GLE 63 S 4MATIC+ SUV</t>
  </si>
  <si>
    <t>AMG GLE 63 S 4MATIC+ Coupe</t>
  </si>
  <si>
    <t>Mercedes-Benz - AMG GLE 63 S 4MATIC+ Coupe</t>
  </si>
  <si>
    <t>AMG GLS 63 4MATIC+ SUV</t>
  </si>
  <si>
    <t>Mercedes-Benz - AMG GLS 63 4MATIC+ SUV</t>
  </si>
  <si>
    <t xml:space="preserve">AMG GT 53 4MATIC+ </t>
  </si>
  <si>
    <t xml:space="preserve">Mercedes-Benz - AMG GT 53 4MATIC+ </t>
  </si>
  <si>
    <t>AMG GT 55 4MATIC+ Coupe</t>
  </si>
  <si>
    <t>Mercedes-Benz - AMG GT 55 4MATIC+ Coupe</t>
  </si>
  <si>
    <t>AMG GT 63 4MATIC+</t>
  </si>
  <si>
    <t>Mercedes-Benz - AMG GT 63 4MATIC+</t>
  </si>
  <si>
    <t>AMG GT 63 4MATIC+ Coupe</t>
  </si>
  <si>
    <t>Mercedes-Benz - AMG GT 63 4MATIC+ Coupe</t>
  </si>
  <si>
    <t>AMG GT 63 PRO 4MATIC+ Coupe</t>
  </si>
  <si>
    <t>Mercedes-Benz - AMG GT 63 PRO 4MATIC+ Coupe</t>
  </si>
  <si>
    <t>AMG SL 43 4MATIC Roadster</t>
  </si>
  <si>
    <t>Mercedes-Benz - AMG SL 43 4MATIC Roadster</t>
  </si>
  <si>
    <t>AMG SL 55 4MATIC+ Roadster</t>
  </si>
  <si>
    <t>Mercedes-Benz - AMG SL 55 4MATIC+ Roadster</t>
  </si>
  <si>
    <t>AMG SL 63 4MATIC+ Roadster</t>
  </si>
  <si>
    <t>Mercedes-Benz - AMG SL 63 4MATIC+ Roadster</t>
  </si>
  <si>
    <t>C 300 4MATIC Sedan</t>
  </si>
  <si>
    <t>Mercedes-Benz - C 300 4MATIC Sedan</t>
  </si>
  <si>
    <t>CLA 250 4MATIC Coupe</t>
  </si>
  <si>
    <t>Mercedes-Benz - CLA 250 4MATIC Coupe</t>
  </si>
  <si>
    <t>CLE 300 4MATIC Cabriolet</t>
  </si>
  <si>
    <t>Mercedes-Benz - CLE 300 4MATIC Cabriolet</t>
  </si>
  <si>
    <t>CLE 300 4MATIC Coupe</t>
  </si>
  <si>
    <t>Mercedes-Benz - CLE 300 4MATIC Coupe</t>
  </si>
  <si>
    <t>CLE 450 4MATIC Cabriolet</t>
  </si>
  <si>
    <t>Mercedes-Benz - CLE 450 4MATIC Cabriolet</t>
  </si>
  <si>
    <t>CLE 450 4MATIC Coupe</t>
  </si>
  <si>
    <t>Mercedes-Benz - CLE 450 4MATIC Coupe</t>
  </si>
  <si>
    <t>E 350 4MATIC Sedan</t>
  </si>
  <si>
    <t>Mercedes-Benz - E 350 4MATIC Sedan</t>
  </si>
  <si>
    <t>E 450 4MATIC Sedan</t>
  </si>
  <si>
    <t>Mercedes-Benz - E 450 4MATIC Sedan</t>
  </si>
  <si>
    <t>G 550 SUV</t>
  </si>
  <si>
    <t>Mercedes-Benz - G 550 SUV</t>
  </si>
  <si>
    <t>GLA 250 4MATIC SUV</t>
  </si>
  <si>
    <t>Mercedes-Benz - GLA 250 4MATIC SUV</t>
  </si>
  <si>
    <t>GLB 250 4MATIC SUV</t>
  </si>
  <si>
    <t>Mercedes-Benz - GLB 250 4MATIC SUV</t>
  </si>
  <si>
    <t>GLC 300 4MATIC SUV</t>
  </si>
  <si>
    <t>Mercedes-Benz - GLC 300 4MATIC SUV</t>
  </si>
  <si>
    <t>GLC 300 4MATIC Coupe</t>
  </si>
  <si>
    <t>Mercedes-Benz - GLC 300 4MATIC Coupe</t>
  </si>
  <si>
    <t>GLE 350 4MATIC SUV</t>
  </si>
  <si>
    <t>Mercedes-Benz - GLE 350 4MATIC SUV</t>
  </si>
  <si>
    <t>GLE 450 4MATIC SUV</t>
  </si>
  <si>
    <t>Mercedes-Benz - GLE 450 4MATIC SUV</t>
  </si>
  <si>
    <t>GLE 450 4MATIC Coupe</t>
  </si>
  <si>
    <t>Mercedes-Benz - GLE 450 4MATIC Coupe</t>
  </si>
  <si>
    <t>GLS 450 4MATIC SUV</t>
  </si>
  <si>
    <t>Mercedes-Benz - GLS 450 4MATIC SUV</t>
  </si>
  <si>
    <t>GLS 580 4MATIC SUV</t>
  </si>
  <si>
    <t>Mercedes-Benz - GLS 580 4MATIC SUV</t>
  </si>
  <si>
    <t>GLS 600 4MATIC Maybach SUV</t>
  </si>
  <si>
    <t>Mercedes-Benz - GLS 600 4MATIC Maybach SUV</t>
  </si>
  <si>
    <t>Maybach S 580 4MATIC Sedan</t>
  </si>
  <si>
    <t>Mercedes-Benz - Maybach S 580 4MATIC Sedan</t>
  </si>
  <si>
    <t>Maybach S 680 4MATIC Sedan</t>
  </si>
  <si>
    <t>Mercedes-Benz - Maybach S 680 4MATIC Sedan</t>
  </si>
  <si>
    <t>S 500 4MATIC Sedan</t>
  </si>
  <si>
    <t>Mercedes-Benz - S 500 4MATIC Sedan</t>
  </si>
  <si>
    <t>S 580 4MATIC Sedan</t>
  </si>
  <si>
    <t>Mercedes-Benz - S 580 4MATIC Sedan</t>
  </si>
  <si>
    <t>MINI</t>
  </si>
  <si>
    <t>Cooper 3 Door</t>
  </si>
  <si>
    <t>MINI - Cooper 3 Door</t>
  </si>
  <si>
    <t>Cooper 5 Door</t>
  </si>
  <si>
    <t>MINI - Cooper 5 Door</t>
  </si>
  <si>
    <t>Cooper Convertible</t>
  </si>
  <si>
    <t>MINI - Cooper Convertible</t>
  </si>
  <si>
    <t>Cooper S 3 Door</t>
  </si>
  <si>
    <t>MINI - Cooper S 3 Door</t>
  </si>
  <si>
    <t>Cooper S 5 Door</t>
  </si>
  <si>
    <t>MINI - Cooper S 5 Door</t>
  </si>
  <si>
    <t>Cooper S Convertible</t>
  </si>
  <si>
    <t>MINI - Cooper S Convertible</t>
  </si>
  <si>
    <t>Cooper S Countryman ALL4</t>
  </si>
  <si>
    <t>MINI - Cooper S Countryman ALL4</t>
  </si>
  <si>
    <t>John Cooper Works 3 Door</t>
  </si>
  <si>
    <t>MINI - John Cooper Works 3 Door</t>
  </si>
  <si>
    <t>John Cooper Works Convertible</t>
  </si>
  <si>
    <t>MINI - John Cooper Works Convertible</t>
  </si>
  <si>
    <t>John Cooper Works Countryman ALL4</t>
  </si>
  <si>
    <t>MINI - John Cooper Works Countryman ALL4</t>
  </si>
  <si>
    <t>Mitsubishi</t>
  </si>
  <si>
    <t>Eclipse Cross 4WD</t>
  </si>
  <si>
    <t>Mitsubishi - Eclipse Cross 4WD</t>
  </si>
  <si>
    <t>Outlander 4WD</t>
  </si>
  <si>
    <t>Mitsubishi - Outlander 4WD</t>
  </si>
  <si>
    <t>RVR</t>
  </si>
  <si>
    <t>Mitsubishi - RVR</t>
  </si>
  <si>
    <t>RVR 4WD</t>
  </si>
  <si>
    <t>Mitsubishi - RVR 4WD</t>
  </si>
  <si>
    <t>Nissan</t>
  </si>
  <si>
    <t>Altima AWD</t>
  </si>
  <si>
    <t>Nissan - Altima AWD</t>
  </si>
  <si>
    <t>Altima AWD SR/Platinum</t>
  </si>
  <si>
    <t>Nissan - Altima AWD SR/Platinum</t>
  </si>
  <si>
    <t>Armada 4WD</t>
  </si>
  <si>
    <t>Nissan - Armada 4WD</t>
  </si>
  <si>
    <t>Armada 4WD PRO-4X</t>
  </si>
  <si>
    <t>Nissan - Armada 4WD PRO-4X</t>
  </si>
  <si>
    <t>Frontier</t>
  </si>
  <si>
    <t>Nissan - Frontier</t>
  </si>
  <si>
    <t>Frontier 4WD</t>
  </si>
  <si>
    <t>Nissan - Frontier 4WD</t>
  </si>
  <si>
    <t>Frontier 4WD PRO-4X</t>
  </si>
  <si>
    <t>Nissan - Frontier 4WD PRO-4X</t>
  </si>
  <si>
    <t>Kicks</t>
  </si>
  <si>
    <t>Nissan - Kicks</t>
  </si>
  <si>
    <t>Kicks AWD</t>
  </si>
  <si>
    <t>Nissan - Kicks AWD</t>
  </si>
  <si>
    <t>Kicks Play</t>
  </si>
  <si>
    <t>Nissan - Kicks Play</t>
  </si>
  <si>
    <t>Murano AWD</t>
  </si>
  <si>
    <t>Nissan - Murano AWD</t>
  </si>
  <si>
    <t>Pathfinder 4WD</t>
  </si>
  <si>
    <t>Nissan - Pathfinder 4WD</t>
  </si>
  <si>
    <t>Pathfinder 4WD Rock Creek</t>
  </si>
  <si>
    <t>Nissan - Pathfinder 4WD Rock Creek</t>
  </si>
  <si>
    <t>Rogue</t>
  </si>
  <si>
    <t>Nissan - Rogue</t>
  </si>
  <si>
    <t>Rogue AWD</t>
  </si>
  <si>
    <t>Nissan - Rogue AWD</t>
  </si>
  <si>
    <t>Sentra</t>
  </si>
  <si>
    <t>Nissan - Sentra</t>
  </si>
  <si>
    <t>Sentra SR</t>
  </si>
  <si>
    <t>Nissan - Sentra SR</t>
  </si>
  <si>
    <t>Versa</t>
  </si>
  <si>
    <t>Nissan - Versa</t>
  </si>
  <si>
    <t>M5</t>
  </si>
  <si>
    <t>Nissan - Z</t>
  </si>
  <si>
    <t>Z NISMO</t>
  </si>
  <si>
    <t>Nissan - Z NISMO</t>
  </si>
  <si>
    <t>Porsche</t>
  </si>
  <si>
    <t>718 Boxster</t>
  </si>
  <si>
    <t>Porsche - 718 Boxster</t>
  </si>
  <si>
    <t>718 Boxster S</t>
  </si>
  <si>
    <t>Porsche - 718 Boxster S</t>
  </si>
  <si>
    <t>718 Boxster GTS</t>
  </si>
  <si>
    <t>Porsche - 718 Boxster GTS</t>
  </si>
  <si>
    <t>718 Cayman</t>
  </si>
  <si>
    <t>Porsche - 718 Cayman</t>
  </si>
  <si>
    <t>718 Cayman S</t>
  </si>
  <si>
    <t>Porsche - 718 Cayman S</t>
  </si>
  <si>
    <t>718 Cayman GTS</t>
  </si>
  <si>
    <t>Porsche - 718 Cayman GTS</t>
  </si>
  <si>
    <t>911 Carrera</t>
  </si>
  <si>
    <t>Porsche - 911 Carrera</t>
  </si>
  <si>
    <t>911 Carrera Cabriolet</t>
  </si>
  <si>
    <t>Porsche - 911 Carrera Cabriolet</t>
  </si>
  <si>
    <t>911 GT3 RS</t>
  </si>
  <si>
    <t>Porsche - 911 GT3 RS</t>
  </si>
  <si>
    <t>911 Turbo</t>
  </si>
  <si>
    <t>Porsche - 911 Turbo</t>
  </si>
  <si>
    <t>911 Turbo Cabriolet</t>
  </si>
  <si>
    <t>Porsche - 911 Turbo Cabriolet</t>
  </si>
  <si>
    <t>911 Turbo S</t>
  </si>
  <si>
    <t>Porsche - 911 Turbo S</t>
  </si>
  <si>
    <t>911 Turbo S Cabriolet</t>
  </si>
  <si>
    <t>Porsche - 911 Turbo S Cabriolet</t>
  </si>
  <si>
    <t>Cayenne</t>
  </si>
  <si>
    <t>Porsche - Cayenne</t>
  </si>
  <si>
    <t>Cayenne Coupe</t>
  </si>
  <si>
    <t>Porsche - Cayenne Coupe</t>
  </si>
  <si>
    <t>Cayenne S</t>
  </si>
  <si>
    <t>Porsche - Cayenne S</t>
  </si>
  <si>
    <t>Cayenne S Coupe</t>
  </si>
  <si>
    <t>Porsche - Cayenne S Coupe</t>
  </si>
  <si>
    <t>Cayenne Turbo GT Coupe</t>
  </si>
  <si>
    <t>Porsche - Cayenne Turbo GT Coupe</t>
  </si>
  <si>
    <t>Macan</t>
  </si>
  <si>
    <t>Porsche - Macan</t>
  </si>
  <si>
    <t>Macan T</t>
  </si>
  <si>
    <t>Porsche - Macan T</t>
  </si>
  <si>
    <t>Macan S</t>
  </si>
  <si>
    <t>Porsche - Macan S</t>
  </si>
  <si>
    <t>Macan GTS</t>
  </si>
  <si>
    <t>Porsche - Macan GTS</t>
  </si>
  <si>
    <t>Panamera</t>
  </si>
  <si>
    <t>Porsche - Panamera</t>
  </si>
  <si>
    <t>Panamera 4</t>
  </si>
  <si>
    <t>Porsche - Panamera 4</t>
  </si>
  <si>
    <t>Panamera GTS</t>
  </si>
  <si>
    <t>Porsche - Panamera GTS</t>
  </si>
  <si>
    <t>Ram</t>
  </si>
  <si>
    <t>1500</t>
  </si>
  <si>
    <t>Ram - 1500</t>
  </si>
  <si>
    <t>1500 eTorque</t>
  </si>
  <si>
    <t>Ram - 1500 eTorque</t>
  </si>
  <si>
    <t>1500 4X4</t>
  </si>
  <si>
    <t>Ram - 1500 4X4</t>
  </si>
  <si>
    <t>1500 4X4 eTorque</t>
  </si>
  <si>
    <t>Ram - 1500 4X4 eTorque</t>
  </si>
  <si>
    <t>1500 4X4 HO</t>
  </si>
  <si>
    <t>Ram - 1500 4X4 HO</t>
  </si>
  <si>
    <t>1500 4X4 RHO</t>
  </si>
  <si>
    <t>Ram - 1500 4X4 RHO</t>
  </si>
  <si>
    <t>Rolls-Royce</t>
  </si>
  <si>
    <t>Cullinan</t>
  </si>
  <si>
    <t>Rolls-Royce - Cullinan</t>
  </si>
  <si>
    <t>Black Badge Cullinan</t>
  </si>
  <si>
    <t>Rolls-Royce - Black Badge Cullinan</t>
  </si>
  <si>
    <t>Ghost</t>
  </si>
  <si>
    <t>Rolls-Royce - Ghost</t>
  </si>
  <si>
    <t>Black Badge Ghost</t>
  </si>
  <si>
    <t>Rolls-Royce - Black Badge Ghost</t>
  </si>
  <si>
    <t>Ghost Extended</t>
  </si>
  <si>
    <t>Rolls-Royce - Ghost Extended</t>
  </si>
  <si>
    <t>Phantom</t>
  </si>
  <si>
    <t>Rolls-Royce - Phantom</t>
  </si>
  <si>
    <t>Phantom Extended</t>
  </si>
  <si>
    <t>Rolls-Royce - Phantom Extended</t>
  </si>
  <si>
    <t>Subaru</t>
  </si>
  <si>
    <t>Ascent AWD</t>
  </si>
  <si>
    <t>Subaru - Ascent AWD</t>
  </si>
  <si>
    <t>BRZ</t>
  </si>
  <si>
    <t>Subaru - BRZ</t>
  </si>
  <si>
    <t>Crosstrek AWD</t>
  </si>
  <si>
    <t>Subaru - Crosstrek AWD</t>
  </si>
  <si>
    <t>Crosstrek Wilderness AWD</t>
  </si>
  <si>
    <t>Subaru - Crosstrek Wilderness AWD</t>
  </si>
  <si>
    <t>Forester AWD</t>
  </si>
  <si>
    <t>Subaru - Forester AWD</t>
  </si>
  <si>
    <t>Forester Wilderness AWD</t>
  </si>
  <si>
    <t>Subaru - Forester Wilderness AWD</t>
  </si>
  <si>
    <t>Forester e-BOXER Hybrid AWD</t>
  </si>
  <si>
    <t>Subaru - Forester e-BOXER Hybrid AWD</t>
  </si>
  <si>
    <t>Impreza AWD</t>
  </si>
  <si>
    <t>Subaru - Impreza AWD</t>
  </si>
  <si>
    <t>Outback AWD</t>
  </si>
  <si>
    <t>Subaru - Outback AWD</t>
  </si>
  <si>
    <t>Outback Wilderness AWD</t>
  </si>
  <si>
    <t>Subaru - Outback Wilderness AWD</t>
  </si>
  <si>
    <t>WRX AWD</t>
  </si>
  <si>
    <t>Subaru - WRX AWD</t>
  </si>
  <si>
    <t>Toyota</t>
  </si>
  <si>
    <t>4Runner 4WD (Part-Time 4WD)</t>
  </si>
  <si>
    <t>Toyota - 4Runner 4WD (Part-Time 4WD)</t>
  </si>
  <si>
    <t>4Runner 4WD Limited</t>
  </si>
  <si>
    <t>Toyota - 4Runner 4WD Limited</t>
  </si>
  <si>
    <t>4Runner Hybrid 4WD (Part-Time 4WD)</t>
  </si>
  <si>
    <t>Toyota - 4Runner Hybrid 4WD (Part-Time 4WD)</t>
  </si>
  <si>
    <t>4Runner Hybrid 4WD Platinum</t>
  </si>
  <si>
    <t>Toyota - 4Runner Hybrid 4WD Platinum</t>
  </si>
  <si>
    <t>Camry</t>
  </si>
  <si>
    <t>Toyota - Camry</t>
  </si>
  <si>
    <t>Camry AWD SE/XLE</t>
  </si>
  <si>
    <t>Toyota - Camry AWD SE/XLE</t>
  </si>
  <si>
    <t>Camry AWD XSE</t>
  </si>
  <si>
    <t>Toyota - Camry AWD XSE</t>
  </si>
  <si>
    <t>Corolla (1-mode)</t>
  </si>
  <si>
    <t>Toyota - Corolla (1-mode)</t>
  </si>
  <si>
    <t>Corolla (3-mode)</t>
  </si>
  <si>
    <t>Toyota - Corolla (3-mode)</t>
  </si>
  <si>
    <t>Corolla Hatchback</t>
  </si>
  <si>
    <t>Toyota - Corolla Hatchback</t>
  </si>
  <si>
    <t>Corolla Hybrid</t>
  </si>
  <si>
    <t>Toyota - Corolla Hybrid</t>
  </si>
  <si>
    <t>Corolla Hybrid AWD (2-mode)</t>
  </si>
  <si>
    <t>Toyota - Corolla Hybrid AWD (2-mode)</t>
  </si>
  <si>
    <t>Corolla Hybrid AWD (3-mode)</t>
  </si>
  <si>
    <t>Toyota - Corolla Hybrid AWD (3-mode)</t>
  </si>
  <si>
    <t>Corolla Cross</t>
  </si>
  <si>
    <t>Toyota - Corolla Cross</t>
  </si>
  <si>
    <t>Corolla Cross AWD</t>
  </si>
  <si>
    <t>Toyota - Corolla Cross AWD</t>
  </si>
  <si>
    <t>Corolla Cross Hybrid AWD</t>
  </si>
  <si>
    <t>Toyota - Corolla Cross Hybrid AWD</t>
  </si>
  <si>
    <t>Crown AWD</t>
  </si>
  <si>
    <t>Toyota - Crown AWD</t>
  </si>
  <si>
    <t>Crown Signia AWD</t>
  </si>
  <si>
    <t>Toyota - Crown Signia AWD</t>
  </si>
  <si>
    <t>GR Corolla</t>
  </si>
  <si>
    <t>Toyota - GR Corolla</t>
  </si>
  <si>
    <t>GR Supra 3.0</t>
  </si>
  <si>
    <t>Toyota - GR Supra 3.0</t>
  </si>
  <si>
    <t>GR86</t>
  </si>
  <si>
    <t>Toyota - GR86</t>
  </si>
  <si>
    <t>Grand Highlander AWD Limited</t>
  </si>
  <si>
    <t>Toyota - Grand Highlander AWD Limited</t>
  </si>
  <si>
    <t>Grand Highlander AWD XLE</t>
  </si>
  <si>
    <t>Toyota - Grand Highlander AWD XLE</t>
  </si>
  <si>
    <t>Grand Highlander Hybrid AWD</t>
  </si>
  <si>
    <t>Toyota - Grand Highlander Hybrid AWD</t>
  </si>
  <si>
    <t>Grand Highlander Hybrid MAX AWD</t>
  </si>
  <si>
    <t>Toyota - Grand Highlander Hybrid MAX AWD</t>
  </si>
  <si>
    <t>Highlander AWD</t>
  </si>
  <si>
    <t>Toyota - Highlander AWD</t>
  </si>
  <si>
    <t>Highlander Hybrid AWD</t>
  </si>
  <si>
    <t>Toyota - Highlander Hybrid AWD</t>
  </si>
  <si>
    <t>Highlander Hybrid AWD Limited/Platinum</t>
  </si>
  <si>
    <t>Toyota - Highlander Hybrid AWD Limited/Platinum</t>
  </si>
  <si>
    <t>Land Cruiser</t>
  </si>
  <si>
    <t>Toyota - Land Cruiser</t>
  </si>
  <si>
    <t>Prius AWD</t>
  </si>
  <si>
    <t>Toyota - Prius AWD</t>
  </si>
  <si>
    <t>RAV4 AWD</t>
  </si>
  <si>
    <t>RAV4 AWD (Stop/Start)</t>
  </si>
  <si>
    <t>Toyota - RAV4 AWD (Stop/Start)</t>
  </si>
  <si>
    <t>RAV4 AWD LE</t>
  </si>
  <si>
    <t>Toyota - RAV4 AWD LE</t>
  </si>
  <si>
    <t>RAV4 Hybrid AWD</t>
  </si>
  <si>
    <t>RAV4 Hybrid AWD Woodland Edition</t>
  </si>
  <si>
    <t>Toyota - RAV4 Hybrid AWD Woodland Edition</t>
  </si>
  <si>
    <t>Sequoia 4WD</t>
  </si>
  <si>
    <t>Toyota - Sequoia 4WD</t>
  </si>
  <si>
    <t>Sienna</t>
  </si>
  <si>
    <t>Toyota - Sienna</t>
  </si>
  <si>
    <t>Sienna AWD</t>
  </si>
  <si>
    <t>Toyota - Sienna AWD</t>
  </si>
  <si>
    <t>Tacoma 4WD (2-mode)</t>
  </si>
  <si>
    <t>Toyota - Tacoma 4WD (2-mode)</t>
  </si>
  <si>
    <t>Tacoma 4WD (3-mode)</t>
  </si>
  <si>
    <t>Toyota - Tacoma 4WD (3-mode)</t>
  </si>
  <si>
    <t>Tacoma 4WD</t>
  </si>
  <si>
    <t>Toyota - Tacoma 4WD</t>
  </si>
  <si>
    <t>Tacoma Hybrid 4WD</t>
  </si>
  <si>
    <t>Toyota - Tacoma Hybrid 4WD</t>
  </si>
  <si>
    <t>Tacoma Hybrid 4WD Limited</t>
  </si>
  <si>
    <t>Toyota - Tacoma Hybrid 4WD Limited</t>
  </si>
  <si>
    <t>Tundra</t>
  </si>
  <si>
    <t>Toyota - Tundra</t>
  </si>
  <si>
    <t>Tundra 4WD (1-mode)</t>
  </si>
  <si>
    <t>Toyota - Tundra 4WD (1-mode)</t>
  </si>
  <si>
    <t>Tundra 4WD (3-mode)/TRD</t>
  </si>
  <si>
    <t>Toyota - Tundra 4WD (3-mode)/TRD</t>
  </si>
  <si>
    <t>Tundra Hybrid 4WD</t>
  </si>
  <si>
    <t>Toyota - Tundra Hybrid 4WD</t>
  </si>
  <si>
    <t>Tundra Hybrid 4WD TRD PRO</t>
  </si>
  <si>
    <t>Toyota - Tundra Hybrid 4WD TRD PRO</t>
  </si>
  <si>
    <t>Volkswagen</t>
  </si>
  <si>
    <t>Atlas 4MOTION Comfortline</t>
  </si>
  <si>
    <t>Volkswagen - Atlas 4MOTION Comfortline</t>
  </si>
  <si>
    <t>Atlas 4MOTION Highline/Execline</t>
  </si>
  <si>
    <t>Volkswagen - Atlas 4MOTION Highline/Execline</t>
  </si>
  <si>
    <t>Atlas 4MOTION Peak Edition</t>
  </si>
  <si>
    <t>Volkswagen - Atlas 4MOTION Peak Edition</t>
  </si>
  <si>
    <t>Atlas Cross Sport 4MOTION</t>
  </si>
  <si>
    <t>Volkswagen - Atlas Cross Sport 4MOTION</t>
  </si>
  <si>
    <t>Golf GTI</t>
  </si>
  <si>
    <t>Volkswagen - Golf GTI</t>
  </si>
  <si>
    <t>Golf R</t>
  </si>
  <si>
    <t>Volkswagen - Golf R</t>
  </si>
  <si>
    <t>Jetta</t>
  </si>
  <si>
    <t>Volkswagen - Jetta</t>
  </si>
  <si>
    <t>Jetta GLI</t>
  </si>
  <si>
    <t>Volkswagen - Jetta GLI</t>
  </si>
  <si>
    <t>Taos</t>
  </si>
  <si>
    <t>Volkswagen - Taos</t>
  </si>
  <si>
    <t>Taos 4MOTION</t>
  </si>
  <si>
    <t>Volkswagen - Taos 4MOTION</t>
  </si>
  <si>
    <t>Tiguan 4MOTION</t>
  </si>
  <si>
    <t>Volkswagen - Tiguan 4MOTION</t>
  </si>
  <si>
    <t>Volvo</t>
  </si>
  <si>
    <t>S60 B5 AWD</t>
  </si>
  <si>
    <t>Volvo - S60 B5 AWD</t>
  </si>
  <si>
    <t>S90 B6 AWD</t>
  </si>
  <si>
    <t>Volvo - S90 B6 AWD</t>
  </si>
  <si>
    <t>V60 CC B5 AWD</t>
  </si>
  <si>
    <t>Volvo - V60 CC B5 AWD</t>
  </si>
  <si>
    <t>V90 CC B6 AWD</t>
  </si>
  <si>
    <t>Volvo - V90 CC B6 AWD</t>
  </si>
  <si>
    <t>XC40 B5 AWD</t>
  </si>
  <si>
    <t>Volvo - XC40 B5 AWD</t>
  </si>
  <si>
    <t>XC60 B5 AWD</t>
  </si>
  <si>
    <t>Volvo - XC60 B5 AWD</t>
  </si>
  <si>
    <t>XC90 B6 AWD</t>
  </si>
  <si>
    <t>Volvo - XC90 B6 AWD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</si>
</sst>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\$#,##0"/>
    <numFmt numFmtId="166" formatCode="\$0.00"/>
    <numFmt numFmtId="167" formatCode="\$#,##0.00"/>
    <numFmt numFmtId="168" formatCode="0.0000"/>
    <numFmt numFmtId="169" formatCode="\$#,##0.00;&quot;($&quot;#,##0.00\)"/>
    <numFmt numFmtId="170" formatCode="#,##0;\(#,##0\)"/>
    <numFmt numFmtId="171" formatCode="\$0.00;&quot;($&quot;0.00\)"/>
  </numFmts>
  <fonts count="12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0"/>
      <name val="Cambria"/>
      <charset val="1"/>
    </font>
    <font>
      <b/>
      <u/>
      <sz val="12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b/>
      <i/>
      <sz val="11"/>
      <name val="Cambria"/>
      <charset val="1"/>
    </font>
    <font>
      <i/>
      <sz val="9"/>
      <name val="Cambria"/>
      <charset val="1"/>
    </font>
    <font>
      <b/>
      <sz val="10"/>
      <name val="Cambria"/>
      <charset val="1"/>
    </font>
    <font>
      <b/>
      <u/>
      <sz val="11"/>
      <name val="Cambria"/>
      <charset val="1"/>
    </font>
    <font>
      <sz val="9"/>
      <name val="Cambria"/>
      <charset val="1"/>
    </font>
    <font>
      <b/>
      <sz val="11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D0D0D0"/>
      </patternFill>
    </fill>
    <fill>
      <patternFill patternType="solid">
        <fgColor rgb="FFD0D0D0"/>
        <bgColor rgb="FFC0C0C0"/>
      </patternFill>
    </fill>
    <fill>
      <patternFill patternType="solid">
        <fgColor rgb="FF366092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6" fillId="0" borderId="0" xfId="0" applyFont="1"/>
    <xf numFmtId="165" fontId="5" fillId="0" borderId="0" xfId="0" applyNumberFormat="1" applyFont="1"/>
    <xf numFmtId="0" fontId="7" fillId="0" borderId="0" xfId="0" applyFont="1"/>
    <xf numFmtId="166" fontId="5" fillId="0" borderId="0" xfId="0" applyNumberFormat="1" applyFont="1"/>
    <xf numFmtId="10" fontId="5" fillId="0" borderId="0" xfId="0" applyNumberFormat="1" applyFont="1"/>
    <xf numFmtId="1" fontId="5" fillId="0" borderId="0" xfId="0" applyNumberFormat="1" applyFont="1"/>
    <xf numFmtId="3" fontId="5" fillId="0" borderId="0" xfId="0" applyNumberFormat="1" applyFon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6" fillId="2" borderId="0" xfId="0" applyFont="1" applyFill="1"/>
    <xf numFmtId="167" fontId="4" fillId="0" borderId="0" xfId="0" applyNumberFormat="1" applyFont="1"/>
    <xf numFmtId="169" fontId="4" fillId="0" borderId="0" xfId="0" applyNumberFormat="1" applyFont="1"/>
    <xf numFmtId="3" fontId="4" fillId="0" borderId="0" xfId="0" applyNumberFormat="1" applyFont="1"/>
    <xf numFmtId="170" fontId="4" fillId="0" borderId="0" xfId="0" applyNumberFormat="1" applyFont="1"/>
    <xf numFmtId="166" fontId="4" fillId="0" borderId="0" xfId="0" applyNumberFormat="1" applyFont="1"/>
    <xf numFmtId="166" fontId="0" fillId="0" borderId="0" xfId="0" applyNumberFormat="1"/>
    <xf numFmtId="171" fontId="4" fillId="0" borderId="0" xfId="0" applyNumberFormat="1" applyFont="1"/>
    <xf numFmtId="0" fontId="8" fillId="0" borderId="0" xfId="0" applyFont="1" applyAlignment="1">
      <alignment horizontal="right"/>
    </xf>
    <xf numFmtId="3" fontId="4" fillId="3" borderId="0" xfId="0" applyNumberFormat="1" applyFont="1" applyFill="1" applyAlignment="1">
      <alignment horizontal="center"/>
    </xf>
    <xf numFmtId="0" fontId="8" fillId="0" borderId="0" xfId="0" applyFont="1"/>
    <xf numFmtId="166" fontId="4" fillId="3" borderId="0" xfId="0" applyNumberFormat="1" applyFont="1" applyFill="1" applyAlignment="1">
      <alignment horizontal="right"/>
    </xf>
    <xf numFmtId="165" fontId="0" fillId="0" borderId="0" xfId="0" applyNumberFormat="1"/>
    <xf numFmtId="0" fontId="9" fillId="0" borderId="0" xfId="0" applyFont="1"/>
    <xf numFmtId="165" fontId="4" fillId="3" borderId="0" xfId="0" applyNumberFormat="1" applyFont="1" applyFill="1" applyAlignment="1">
      <alignment horizontal="center"/>
    </xf>
    <xf numFmtId="0" fontId="10" fillId="0" borderId="0" xfId="0" applyFont="1"/>
    <xf numFmtId="0" fontId="1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zoomScaleNormal="100" workbookViewId="0">
      <selection activeCell="D25" sqref="D25"/>
    </sheetView>
  </sheetViews>
  <sheetFormatPr defaultColWidth="8.7109375" defaultRowHeight="15" x14ac:dyDescent="0.25"/>
  <cols>
    <col min="1" max="1" width="38" customWidth="1"/>
    <col min="2" max="2" width="15" customWidth="1"/>
    <col min="3" max="3" width="28" customWidth="1"/>
    <col min="4" max="8" width="12" customWidth="1"/>
  </cols>
  <sheetData>
    <row r="1" spans="1:3" ht="18" x14ac:dyDescent="0.25">
      <c r="A1" s="3" t="s">
        <v>0</v>
      </c>
      <c r="B1" s="3"/>
      <c r="C1" s="3"/>
    </row>
    <row r="2" spans="1:3" x14ac:dyDescent="0.25">
      <c r="A2" s="2" t="s">
        <v>1</v>
      </c>
      <c r="B2" s="2"/>
      <c r="C2" s="2"/>
    </row>
    <row r="4" spans="1:3" ht="15.75" x14ac:dyDescent="0.25">
      <c r="A4" s="5" t="s">
        <v>2</v>
      </c>
    </row>
    <row r="5" spans="1:3" x14ac:dyDescent="0.25">
      <c r="A5" s="4" t="s">
        <v>3</v>
      </c>
    </row>
    <row r="6" spans="1:3" x14ac:dyDescent="0.25">
      <c r="A6" s="6" t="s">
        <v>4</v>
      </c>
      <c r="C6" s="7" t="s">
        <v>488</v>
      </c>
    </row>
    <row r="7" spans="1:3" x14ac:dyDescent="0.25">
      <c r="A7" s="6" t="s">
        <v>6</v>
      </c>
      <c r="C7" s="7" t="s">
        <v>378</v>
      </c>
    </row>
    <row r="9" spans="1:3" ht="15.75" x14ac:dyDescent="0.25">
      <c r="A9" s="5" t="s">
        <v>8</v>
      </c>
    </row>
    <row r="10" spans="1:3" x14ac:dyDescent="0.25">
      <c r="A10" t="s">
        <v>9</v>
      </c>
      <c r="B10" s="8">
        <f>IFERROR(VLOOKUP(C6,'Vehicle Data'!$P$2:$Q$651,2,FALSE()),8.5)</f>
        <v>9.1999999999999993</v>
      </c>
    </row>
    <row r="11" spans="1:3" x14ac:dyDescent="0.25">
      <c r="A11" t="s">
        <v>10</v>
      </c>
      <c r="B11" s="8">
        <f>IFERROR(VLOOKUP(C7,'Vehicle Data'!$P$2:$Q$651,2,FALSE()),6)</f>
        <v>7.7</v>
      </c>
    </row>
    <row r="12" spans="1:3" x14ac:dyDescent="0.25">
      <c r="A12" t="s">
        <v>11</v>
      </c>
      <c r="B12" s="8">
        <f>B10-B11</f>
        <v>1.4999999999999991</v>
      </c>
    </row>
    <row r="14" spans="1:3" x14ac:dyDescent="0.25">
      <c r="A14" s="9" t="s">
        <v>12</v>
      </c>
    </row>
    <row r="15" spans="1:3" x14ac:dyDescent="0.25">
      <c r="A15" t="s">
        <v>13</v>
      </c>
      <c r="B15" s="10">
        <v>2500</v>
      </c>
      <c r="C15" s="11" t="s">
        <v>14</v>
      </c>
    </row>
    <row r="16" spans="1:3" x14ac:dyDescent="0.25">
      <c r="A16" t="s">
        <v>15</v>
      </c>
      <c r="B16" s="12">
        <v>1.3</v>
      </c>
    </row>
    <row r="17" spans="1:2" x14ac:dyDescent="0.25">
      <c r="A17" t="s">
        <v>16</v>
      </c>
      <c r="B17" s="13">
        <v>4.4900000000000002E-2</v>
      </c>
    </row>
    <row r="18" spans="1:2" x14ac:dyDescent="0.25">
      <c r="A18" t="s">
        <v>17</v>
      </c>
      <c r="B18" s="14">
        <v>5</v>
      </c>
    </row>
    <row r="20" spans="1:2" x14ac:dyDescent="0.25">
      <c r="A20" s="9" t="s">
        <v>18</v>
      </c>
    </row>
    <row r="21" spans="1:2" x14ac:dyDescent="0.25">
      <c r="A21" t="s">
        <v>19</v>
      </c>
      <c r="B21" s="15">
        <v>50000</v>
      </c>
    </row>
    <row r="23" spans="1:2" ht="15.75" x14ac:dyDescent="0.25">
      <c r="A23" s="5" t="s">
        <v>20</v>
      </c>
    </row>
    <row r="24" spans="1:2" x14ac:dyDescent="0.25">
      <c r="A24" t="s">
        <v>21</v>
      </c>
      <c r="B24" s="16">
        <f>B21/100*B12</f>
        <v>749.99999999999955</v>
      </c>
    </row>
    <row r="25" spans="1:2" x14ac:dyDescent="0.25">
      <c r="A25" t="s">
        <v>22</v>
      </c>
      <c r="B25" s="17">
        <f>B24*B16</f>
        <v>974.99999999999943</v>
      </c>
    </row>
    <row r="26" spans="1:2" x14ac:dyDescent="0.25">
      <c r="A26" t="s">
        <v>23</v>
      </c>
      <c r="B26" s="18">
        <f>IF(B17=0,B18,(1-(1+B17)^(-B18))/B17)</f>
        <v>4.3912003425677506</v>
      </c>
    </row>
    <row r="27" spans="1:2" x14ac:dyDescent="0.25">
      <c r="A27" t="s">
        <v>24</v>
      </c>
      <c r="B27" s="17">
        <f>B25*B26</f>
        <v>4281.4203340035547</v>
      </c>
    </row>
    <row r="29" spans="1:2" ht="15.75" x14ac:dyDescent="0.25">
      <c r="A29" s="5" t="s">
        <v>25</v>
      </c>
    </row>
    <row r="30" spans="1:2" x14ac:dyDescent="0.25">
      <c r="A30" s="19" t="s">
        <v>26</v>
      </c>
    </row>
    <row r="31" spans="1:2" x14ac:dyDescent="0.25">
      <c r="A31" t="s">
        <v>27</v>
      </c>
      <c r="B31" s="20">
        <f>B27</f>
        <v>4281.4203340035547</v>
      </c>
    </row>
    <row r="32" spans="1:2" x14ac:dyDescent="0.25">
      <c r="A32" t="s">
        <v>28</v>
      </c>
      <c r="B32" s="17">
        <f>B15</f>
        <v>2500</v>
      </c>
    </row>
    <row r="33" spans="1:8" x14ac:dyDescent="0.25">
      <c r="A33" t="s">
        <v>29</v>
      </c>
      <c r="B33" s="21">
        <f>B31-B32</f>
        <v>1781.4203340035547</v>
      </c>
    </row>
    <row r="35" spans="1:8" x14ac:dyDescent="0.25">
      <c r="A35" s="19" t="s">
        <v>30</v>
      </c>
    </row>
    <row r="36" spans="1:8" x14ac:dyDescent="0.25">
      <c r="A36" t="s">
        <v>31</v>
      </c>
      <c r="B36" s="22">
        <f>IF(B12=0,"N/A",(B15/B26)/B16/(B12/100))</f>
        <v>29195.91870184644</v>
      </c>
    </row>
    <row r="37" spans="1:8" x14ac:dyDescent="0.25">
      <c r="A37" t="s">
        <v>32</v>
      </c>
      <c r="B37" s="16">
        <f>B21</f>
        <v>50000</v>
      </c>
    </row>
    <row r="38" spans="1:8" x14ac:dyDescent="0.25">
      <c r="A38" t="s">
        <v>33</v>
      </c>
      <c r="B38" s="23">
        <f>IF(ISNUMBER(B36),B36-B37,"N/A")</f>
        <v>-20804.08129815356</v>
      </c>
    </row>
    <row r="40" spans="1:8" x14ac:dyDescent="0.25">
      <c r="A40" s="19" t="s">
        <v>34</v>
      </c>
    </row>
    <row r="41" spans="1:8" x14ac:dyDescent="0.25">
      <c r="A41" t="s">
        <v>35</v>
      </c>
      <c r="B41" s="24">
        <f>IF(B24=0,"N/A",(B15/B26)/B24)</f>
        <v>0.75909388624800744</v>
      </c>
    </row>
    <row r="42" spans="1:8" x14ac:dyDescent="0.25">
      <c r="A42" t="s">
        <v>36</v>
      </c>
      <c r="B42" s="25">
        <f>B16</f>
        <v>1.3</v>
      </c>
    </row>
    <row r="43" spans="1:8" x14ac:dyDescent="0.25">
      <c r="A43" t="s">
        <v>37</v>
      </c>
      <c r="B43" s="26">
        <f>IF(ISNUMBER(B41),B41-B42,"N/A")</f>
        <v>-0.5409061137519926</v>
      </c>
    </row>
    <row r="45" spans="1:8" ht="15.75" x14ac:dyDescent="0.25">
      <c r="A45" s="5" t="s">
        <v>38</v>
      </c>
    </row>
    <row r="46" spans="1:8" x14ac:dyDescent="0.25">
      <c r="A46" s="2" t="s">
        <v>39</v>
      </c>
      <c r="B46" s="2"/>
      <c r="C46" s="2"/>
      <c r="D46" s="2"/>
      <c r="E46" s="2"/>
      <c r="F46" s="2"/>
      <c r="G46" s="2"/>
      <c r="H46" s="2"/>
    </row>
    <row r="48" spans="1:8" x14ac:dyDescent="0.25">
      <c r="A48" s="27" t="s">
        <v>40</v>
      </c>
      <c r="B48" s="28">
        <v>8000</v>
      </c>
      <c r="C48" s="28">
        <v>10000</v>
      </c>
      <c r="D48" s="28">
        <v>12000</v>
      </c>
      <c r="E48" s="28">
        <v>15000</v>
      </c>
      <c r="F48" s="28">
        <v>18000</v>
      </c>
      <c r="G48" s="28">
        <v>20000</v>
      </c>
    </row>
    <row r="49" spans="1:8" x14ac:dyDescent="0.25">
      <c r="A49" s="29" t="s">
        <v>41</v>
      </c>
    </row>
    <row r="50" spans="1:8" x14ac:dyDescent="0.25">
      <c r="A50" s="30">
        <v>1</v>
      </c>
      <c r="B50" s="31">
        <f>((8000/100*B12*A50)*IF(B17=0,B18,(1-(1+B17)^(-B18))/B17))</f>
        <v>526.9440411081298</v>
      </c>
      <c r="C50" s="31">
        <f>((10000/100*B12*A50)*IF(B17=0,B18,(1-(1+B17)^(-B18))/B17))</f>
        <v>658.68005138516219</v>
      </c>
      <c r="D50" s="31">
        <f>((12000/100*B12*A50)*IF(B17=0,B18,(1-(1+B17)^(-B18))/B17))</f>
        <v>790.41606166219458</v>
      </c>
      <c r="E50" s="31">
        <f>((15000/100*B12*A50)*IF(B17=0,B18,(1-(1+B17)^(-B18))/B17))</f>
        <v>988.02007707774328</v>
      </c>
      <c r="F50" s="31">
        <f>((18000/100*B12*A50)*IF(B17=0,B18,(1-(1+B17)^(-B18))/B17))</f>
        <v>1185.624092493292</v>
      </c>
      <c r="G50" s="31">
        <f>((20000/100*B12*A50)*IF(B17=0,B18,(1-(1+B17)^(-B18))/B17))</f>
        <v>1317.3601027703244</v>
      </c>
    </row>
    <row r="51" spans="1:8" x14ac:dyDescent="0.25">
      <c r="A51" s="30">
        <v>1.2</v>
      </c>
      <c r="B51" s="31">
        <f>((8000/100*B12*A51)*IF(B17=0,B18,(1-(1+B17)^(-B18))/B17))</f>
        <v>632.33284932975573</v>
      </c>
      <c r="C51" s="31">
        <f>((10000/100*B12*A51)*IF(B17=0,B18,(1-(1+B17)^(-B18))/B17))</f>
        <v>790.41606166219458</v>
      </c>
      <c r="D51" s="31">
        <f>((12000/100*B12*A51)*IF(B17=0,B18,(1-(1+B17)^(-B18))/B17))</f>
        <v>948.49927399463354</v>
      </c>
      <c r="E51" s="31">
        <f>((15000/100*B12*A51)*IF(B17=0,B18,(1-(1+B17)^(-B18))/B17))</f>
        <v>1185.624092493292</v>
      </c>
      <c r="F51" s="31">
        <f>((18000/100*B12*A51)*IF(B17=0,B18,(1-(1+B17)^(-B18))/B17))</f>
        <v>1422.7489109919502</v>
      </c>
      <c r="G51" s="31">
        <f>((20000/100*B12*A51)*IF(B17=0,B18,(1-(1+B17)^(-B18))/B17))</f>
        <v>1580.8321233243892</v>
      </c>
    </row>
    <row r="52" spans="1:8" x14ac:dyDescent="0.25">
      <c r="A52" s="30">
        <v>1.4</v>
      </c>
      <c r="B52" s="31">
        <f>((8000/100*B12*A52)*IF(B17=0,B18,(1-(1+B17)^(-B18))/B17))</f>
        <v>737.72165755138155</v>
      </c>
      <c r="C52" s="31">
        <f>((10000/100*B12*A52)*IF(B17=0,B18,(1-(1+B17)^(-B18))/B17))</f>
        <v>922.15207193922697</v>
      </c>
      <c r="D52" s="31">
        <f>((12000/100*B12*A52)*IF(B17=0,B18,(1-(1+B17)^(-B18))/B17))</f>
        <v>1106.5824863270725</v>
      </c>
      <c r="E52" s="31">
        <f>((15000/100*B12*A52)*IF(B17=0,B18,(1-(1+B17)^(-B18))/B17))</f>
        <v>1383.2281079088405</v>
      </c>
      <c r="F52" s="31">
        <f>((18000/100*B12*A52)*IF(B17=0,B18,(1-(1+B17)^(-B18))/B17))</f>
        <v>1659.8737294906084</v>
      </c>
      <c r="G52" s="31">
        <f>((20000/100*B12*A52)*IF(B17=0,B18,(1-(1+B17)^(-B18))/B17))</f>
        <v>1844.3041438784539</v>
      </c>
    </row>
    <row r="53" spans="1:8" x14ac:dyDescent="0.25">
      <c r="A53" s="30">
        <v>1.6</v>
      </c>
      <c r="B53" s="31">
        <f>((8000/100*B12*A53)*IF(B17=0,B18,(1-(1+B17)^(-B18))/B17))</f>
        <v>843.1104657730076</v>
      </c>
      <c r="C53" s="31">
        <f>((10000/100*B12*A53)*IF(B17=0,B18,(1-(1+B17)^(-B18))/B17))</f>
        <v>1053.8880822162596</v>
      </c>
      <c r="D53" s="31">
        <f>((12000/100*B12*A53)*IF(B17=0,B18,(1-(1+B17)^(-B18))/B17))</f>
        <v>1264.6656986595115</v>
      </c>
      <c r="E53" s="31">
        <f>((15000/100*B12*A53)*IF(B17=0,B18,(1-(1+B17)^(-B18))/B17))</f>
        <v>1580.8321233243892</v>
      </c>
      <c r="F53" s="31">
        <f>((18000/100*B12*A53)*IF(B17=0,B18,(1-(1+B17)^(-B18))/B17))</f>
        <v>1896.9985479892673</v>
      </c>
      <c r="G53" s="31">
        <f>((20000/100*B12*A53)*IF(B17=0,B18,(1-(1+B17)^(-B18))/B17))</f>
        <v>2107.7761644325192</v>
      </c>
    </row>
    <row r="54" spans="1:8" x14ac:dyDescent="0.25">
      <c r="A54" s="30">
        <v>1.8</v>
      </c>
      <c r="B54" s="31">
        <f>((8000/100*B12*A54)*IF(B17=0,B18,(1-(1+B17)^(-B18))/B17))</f>
        <v>948.49927399463365</v>
      </c>
      <c r="C54" s="31">
        <f>((10000/100*B12*A54)*IF(B17=0,B18,(1-(1+B17)^(-B18))/B17))</f>
        <v>1185.624092493292</v>
      </c>
      <c r="D54" s="31">
        <f>((12000/100*B12*A54)*IF(B17=0,B18,(1-(1+B17)^(-B18))/B17))</f>
        <v>1422.7489109919504</v>
      </c>
      <c r="E54" s="31">
        <f>((15000/100*B12*A54)*IF(B17=0,B18,(1-(1+B17)^(-B18))/B17))</f>
        <v>1778.4361387399381</v>
      </c>
      <c r="F54" s="31">
        <f>((18000/100*B12*A54)*IF(B17=0,B18,(1-(1+B17)^(-B18))/B17))</f>
        <v>2134.1233664879255</v>
      </c>
      <c r="G54" s="31">
        <f>((20000/100*B12*A54)*IF(B17=0,B18,(1-(1+B17)^(-B18))/B17))</f>
        <v>2371.248184986584</v>
      </c>
    </row>
    <row r="55" spans="1:8" x14ac:dyDescent="0.25">
      <c r="A55" s="30">
        <v>2</v>
      </c>
      <c r="B55" s="31">
        <f>((8000/100*B12*A55)*IF(B17=0,B18,(1-(1+B17)^(-B18))/B17))</f>
        <v>1053.8880822162596</v>
      </c>
      <c r="C55" s="31">
        <f>((10000/100*B12*A55)*IF(B17=0,B18,(1-(1+B17)^(-B18))/B17))</f>
        <v>1317.3601027703244</v>
      </c>
      <c r="D55" s="31">
        <f>((12000/100*B12*A55)*IF(B17=0,B18,(1-(1+B17)^(-B18))/B17))</f>
        <v>1580.8321233243892</v>
      </c>
      <c r="E55" s="31">
        <f>((15000/100*B12*A55)*IF(B17=0,B18,(1-(1+B17)^(-B18))/B17))</f>
        <v>1976.0401541554866</v>
      </c>
      <c r="F55" s="31">
        <f>((18000/100*B12*A55)*IF(B17=0,B18,(1-(1+B17)^(-B18))/B17))</f>
        <v>2371.248184986584</v>
      </c>
      <c r="G55" s="31">
        <f>((20000/100*B12*A55)*IF(B17=0,B18,(1-(1+B17)^(-B18))/B17))</f>
        <v>2634.7202055406487</v>
      </c>
    </row>
    <row r="56" spans="1:8" x14ac:dyDescent="0.25">
      <c r="A56" s="30">
        <v>2.2000000000000002</v>
      </c>
      <c r="B56" s="31">
        <f>((8000/100*B12*A56)*IF(B17=0,B18,(1-(1+B17)^(-B18))/B17))</f>
        <v>1159.2768904378856</v>
      </c>
      <c r="C56" s="31">
        <f>((10000/100*B12*A56)*IF(B17=0,B18,(1-(1+B17)^(-B18))/B17))</f>
        <v>1449.096113047357</v>
      </c>
      <c r="D56" s="31">
        <f>((12000/100*B12*A56)*IF(B17=0,B18,(1-(1+B17)^(-B18))/B17))</f>
        <v>1738.9153356568283</v>
      </c>
      <c r="E56" s="31">
        <f>((15000/100*B12*A56)*IF(B17=0,B18,(1-(1+B17)^(-B18))/B17))</f>
        <v>2173.6441695710355</v>
      </c>
      <c r="F56" s="31">
        <f>((18000/100*B12*A56)*IF(B17=0,B18,(1-(1+B17)^(-B18))/B17))</f>
        <v>2608.3730034852424</v>
      </c>
      <c r="G56" s="31">
        <f>((20000/100*B12*A56)*IF(B17=0,B18,(1-(1+B17)^(-B18))/B17))</f>
        <v>2898.192226094714</v>
      </c>
    </row>
    <row r="57" spans="1:8" x14ac:dyDescent="0.25">
      <c r="A57" s="30">
        <v>2.5</v>
      </c>
      <c r="B57" s="31">
        <f>((8000/100*B12*A57)*IF(B17=0,B18,(1-(1+B17)^(-B18))/B17))</f>
        <v>1317.3601027703244</v>
      </c>
      <c r="C57" s="31">
        <f>((10000/100*B12*A57)*IF(B17=0,B18,(1-(1+B17)^(-B18))/B17))</f>
        <v>1646.7001284629055</v>
      </c>
      <c r="D57" s="31">
        <f>((12000/100*B12*A57)*IF(B17=0,B18,(1-(1+B17)^(-B18))/B17))</f>
        <v>1976.0401541554866</v>
      </c>
      <c r="E57" s="31">
        <f>((15000/100*B12*A57)*IF(B17=0,B18,(1-(1+B17)^(-B18))/B17))</f>
        <v>2470.0501926943584</v>
      </c>
      <c r="F57" s="31">
        <f>((18000/100*B12*A57)*IF(B17=0,B18,(1-(1+B17)^(-B18))/B17))</f>
        <v>2964.0602312332298</v>
      </c>
      <c r="G57" s="31">
        <f>((20000/100*B12*A57)*IF(B17=0,B18,(1-(1+B17)^(-B18))/B17))</f>
        <v>3293.4002569258109</v>
      </c>
    </row>
    <row r="59" spans="1:8" x14ac:dyDescent="0.25">
      <c r="A59" s="1" t="s">
        <v>42</v>
      </c>
      <c r="B59" s="1"/>
      <c r="C59" s="1"/>
      <c r="D59" s="1"/>
      <c r="E59" s="1"/>
      <c r="F59" s="1"/>
    </row>
    <row r="62" spans="1:8" x14ac:dyDescent="0.25">
      <c r="A62" s="32" t="s">
        <v>31</v>
      </c>
    </row>
    <row r="63" spans="1:8" x14ac:dyDescent="0.25">
      <c r="A63" s="2" t="s">
        <v>43</v>
      </c>
      <c r="B63" s="2"/>
      <c r="C63" s="2"/>
      <c r="D63" s="2"/>
      <c r="E63" s="2"/>
      <c r="F63" s="2"/>
      <c r="G63" s="2"/>
      <c r="H63" s="2"/>
    </row>
    <row r="65" spans="1:7" x14ac:dyDescent="0.25">
      <c r="A65" s="27" t="s">
        <v>44</v>
      </c>
      <c r="B65" s="33">
        <v>1000</v>
      </c>
      <c r="C65" s="33">
        <v>1500</v>
      </c>
      <c r="D65" s="33">
        <v>2000</v>
      </c>
      <c r="E65" s="33">
        <v>2500</v>
      </c>
      <c r="F65" s="33">
        <v>3000</v>
      </c>
      <c r="G65" s="33">
        <v>4000</v>
      </c>
    </row>
    <row r="66" spans="1:7" x14ac:dyDescent="0.25">
      <c r="A66" s="29" t="s">
        <v>41</v>
      </c>
    </row>
    <row r="67" spans="1:7" x14ac:dyDescent="0.25">
      <c r="A67" s="30">
        <v>1</v>
      </c>
      <c r="B67" s="16">
        <f>IF(B12=0,"N/A",(B65/IF(B17=0,B18,(1-(1+B17)^(-B18))/B17))/A67/(B12/100))</f>
        <v>15181.87772496015</v>
      </c>
      <c r="C67" s="16">
        <f>IF(B12=0,"N/A",(C65/IF(B17=0,B18,(1-(1+B17)^(-B18))/B17))/A67/(B12/100))</f>
        <v>22772.816587440226</v>
      </c>
      <c r="D67" s="16">
        <f>IF(B12=0,"N/A",(D65/IF(B17=0,B18,(1-(1+B17)^(-B18))/B17))/A67/(B12/100))</f>
        <v>30363.7554499203</v>
      </c>
      <c r="E67" s="16">
        <f>IF(B12=0,"N/A",(E65/IF(B17=0,B18,(1-(1+B17)^(-B18))/B17))/A67/(B12/100))</f>
        <v>37954.694312400374</v>
      </c>
      <c r="F67" s="16">
        <f>IF(B12=0,"N/A",(F65/IF(B17=0,B18,(1-(1+B17)^(-B18))/B17))/A67/(B12/100))</f>
        <v>45545.633174880451</v>
      </c>
      <c r="G67" s="16">
        <f>IF(B12=0,"N/A",(G65/IF(B17=0,B18,(1-(1+B17)^(-B18))/B17))/A67/(B12/100))</f>
        <v>60727.510899840599</v>
      </c>
    </row>
    <row r="68" spans="1:7" x14ac:dyDescent="0.25">
      <c r="A68" s="30">
        <v>1.2</v>
      </c>
      <c r="B68" s="16">
        <f>IF(B12=0,"N/A",(B65/IF(B17=0,B18,(1-(1+B17)^(-B18))/B17))/A68/(B12/100))</f>
        <v>12651.564770800125</v>
      </c>
      <c r="C68" s="16">
        <f>IF(B12=0,"N/A",(C65/IF(B17=0,B18,(1-(1+B17)^(-B18))/B17))/A68/(B12/100))</f>
        <v>18977.347156200187</v>
      </c>
      <c r="D68" s="16">
        <f>IF(B12=0,"N/A",(D65/IF(B17=0,B18,(1-(1+B17)^(-B18))/B17))/A68/(B12/100))</f>
        <v>25303.12954160025</v>
      </c>
      <c r="E68" s="16">
        <f>IF(B12=0,"N/A",(E65/IF(B17=0,B18,(1-(1+B17)^(-B18))/B17))/A68/(B12/100))</f>
        <v>31628.911927000314</v>
      </c>
      <c r="F68" s="16">
        <f>IF(B12=0,"N/A",(F65/IF(B17=0,B18,(1-(1+B17)^(-B18))/B17))/A68/(B12/100))</f>
        <v>37954.694312400374</v>
      </c>
      <c r="G68" s="16">
        <f>IF(B12=0,"N/A",(G65/IF(B17=0,B18,(1-(1+B17)^(-B18))/B17))/A68/(B12/100))</f>
        <v>50606.259083200501</v>
      </c>
    </row>
    <row r="69" spans="1:7" x14ac:dyDescent="0.25">
      <c r="A69" s="30">
        <v>1.4</v>
      </c>
      <c r="B69" s="16">
        <f>IF(B12=0,"N/A",(B65/IF(B17=0,B18,(1-(1+B17)^(-B18))/B17))/A69/(B12/100))</f>
        <v>10844.198374971536</v>
      </c>
      <c r="C69" s="16">
        <f>IF(B12=0,"N/A",(C65/IF(B17=0,B18,(1-(1+B17)^(-B18))/B17))/A69/(B12/100))</f>
        <v>16266.297562457305</v>
      </c>
      <c r="D69" s="16">
        <f>IF(B12=0,"N/A",(D65/IF(B17=0,B18,(1-(1+B17)^(-B18))/B17))/A69/(B12/100))</f>
        <v>21688.396749943073</v>
      </c>
      <c r="E69" s="16">
        <f>IF(B12=0,"N/A",(E65/IF(B17=0,B18,(1-(1+B17)^(-B18))/B17))/A69/(B12/100))</f>
        <v>27110.495937428841</v>
      </c>
      <c r="F69" s="16">
        <f>IF(B12=0,"N/A",(F65/IF(B17=0,B18,(1-(1+B17)^(-B18))/B17))/A69/(B12/100))</f>
        <v>32532.595124914609</v>
      </c>
      <c r="G69" s="16">
        <f>IF(B12=0,"N/A",(G65/IF(B17=0,B18,(1-(1+B17)^(-B18))/B17))/A69/(B12/100))</f>
        <v>43376.793499886146</v>
      </c>
    </row>
    <row r="70" spans="1:7" x14ac:dyDescent="0.25">
      <c r="A70" s="30">
        <v>1.6</v>
      </c>
      <c r="B70" s="16">
        <f>IF(B12=0,"N/A",(B65/IF(B17=0,B18,(1-(1+B17)^(-B18))/B17))/A70/(B12/100))</f>
        <v>9488.6735781000916</v>
      </c>
      <c r="C70" s="16">
        <f>IF(B12=0,"N/A",(C65/IF(B17=0,B18,(1-(1+B17)^(-B18))/B17))/A70/(B12/100))</f>
        <v>14233.010367150138</v>
      </c>
      <c r="D70" s="16">
        <f>IF(B12=0,"N/A",(D65/IF(B17=0,B18,(1-(1+B17)^(-B18))/B17))/A70/(B12/100))</f>
        <v>18977.347156200183</v>
      </c>
      <c r="E70" s="16">
        <f>IF(B12=0,"N/A",(E65/IF(B17=0,B18,(1-(1+B17)^(-B18))/B17))/A70/(B12/100))</f>
        <v>23721.683945250235</v>
      </c>
      <c r="F70" s="16">
        <f>IF(B12=0,"N/A",(F65/IF(B17=0,B18,(1-(1+B17)^(-B18))/B17))/A70/(B12/100))</f>
        <v>28466.020734300277</v>
      </c>
      <c r="G70" s="16">
        <f>IF(B12=0,"N/A",(G65/IF(B17=0,B18,(1-(1+B17)^(-B18))/B17))/A70/(B12/100))</f>
        <v>37954.694312400366</v>
      </c>
    </row>
    <row r="71" spans="1:7" x14ac:dyDescent="0.25">
      <c r="A71" s="30">
        <v>1.8</v>
      </c>
      <c r="B71" s="16">
        <f>IF(B12=0,"N/A",(B65/IF(B17=0,B18,(1-(1+B17)^(-B18))/B17))/A71/(B12/100))</f>
        <v>8434.3765138667495</v>
      </c>
      <c r="C71" s="16">
        <f>IF(B12=0,"N/A",(C65/IF(B17=0,B18,(1-(1+B17)^(-B18))/B17))/A71/(B12/100))</f>
        <v>12651.564770800125</v>
      </c>
      <c r="D71" s="16">
        <f>IF(B12=0,"N/A",(D65/IF(B17=0,B18,(1-(1+B17)^(-B18))/B17))/A71/(B12/100))</f>
        <v>16868.753027733499</v>
      </c>
      <c r="E71" s="16">
        <f>IF(B12=0,"N/A",(E65/IF(B17=0,B18,(1-(1+B17)^(-B18))/B17))/A71/(B12/100))</f>
        <v>21085.941284666875</v>
      </c>
      <c r="F71" s="16">
        <f>IF(B12=0,"N/A",(F65/IF(B17=0,B18,(1-(1+B17)^(-B18))/B17))/A71/(B12/100))</f>
        <v>25303.12954160025</v>
      </c>
      <c r="G71" s="16">
        <f>IF(B12=0,"N/A",(G65/IF(B17=0,B18,(1-(1+B17)^(-B18))/B17))/A71/(B12/100))</f>
        <v>33737.506055466998</v>
      </c>
    </row>
    <row r="72" spans="1:7" x14ac:dyDescent="0.25">
      <c r="A72" s="30">
        <v>2</v>
      </c>
      <c r="B72" s="16">
        <f>IF(B12=0,"N/A",(B65/IF(B17=0,B18,(1-(1+B17)^(-B18))/B17))/A72/(B12/100))</f>
        <v>7590.9388624800749</v>
      </c>
      <c r="C72" s="16">
        <f>IF(B12=0,"N/A",(C65/IF(B17=0,B18,(1-(1+B17)^(-B18))/B17))/A72/(B12/100))</f>
        <v>11386.408293720113</v>
      </c>
      <c r="D72" s="16">
        <f>IF(B12=0,"N/A",(D65/IF(B17=0,B18,(1-(1+B17)^(-B18))/B17))/A72/(B12/100))</f>
        <v>15181.87772496015</v>
      </c>
      <c r="E72" s="16">
        <f>IF(B12=0,"N/A",(E65/IF(B17=0,B18,(1-(1+B17)^(-B18))/B17))/A72/(B12/100))</f>
        <v>18977.347156200187</v>
      </c>
      <c r="F72" s="16">
        <f>IF(B12=0,"N/A",(F65/IF(B17=0,B18,(1-(1+B17)^(-B18))/B17))/A72/(B12/100))</f>
        <v>22772.816587440226</v>
      </c>
      <c r="G72" s="16">
        <f>IF(B12=0,"N/A",(G65/IF(B17=0,B18,(1-(1+B17)^(-B18))/B17))/A72/(B12/100))</f>
        <v>30363.7554499203</v>
      </c>
    </row>
    <row r="73" spans="1:7" x14ac:dyDescent="0.25">
      <c r="A73" s="30">
        <v>2.2000000000000002</v>
      </c>
      <c r="B73" s="16">
        <f>IF(B12=0,"N/A",(B65/IF(B17=0,B18,(1-(1+B17)^(-B18))/B17))/A73/(B12/100))</f>
        <v>6900.8535113455218</v>
      </c>
      <c r="C73" s="16">
        <f>IF(B12=0,"N/A",(C65/IF(B17=0,B18,(1-(1+B17)^(-B18))/B17))/A73/(B12/100))</f>
        <v>10351.280267018285</v>
      </c>
      <c r="D73" s="16">
        <f>IF(B12=0,"N/A",(D65/IF(B17=0,B18,(1-(1+B17)^(-B18))/B17))/A73/(B12/100))</f>
        <v>13801.707022691044</v>
      </c>
      <c r="E73" s="16">
        <f>IF(B12=0,"N/A",(E65/IF(B17=0,B18,(1-(1+B17)^(-B18))/B17))/A73/(B12/100))</f>
        <v>17252.133778363805</v>
      </c>
      <c r="F73" s="16">
        <f>IF(B12=0,"N/A",(F65/IF(B17=0,B18,(1-(1+B17)^(-B18))/B17))/A73/(B12/100))</f>
        <v>20702.560534036569</v>
      </c>
      <c r="G73" s="16">
        <f>IF(B12=0,"N/A",(G65/IF(B17=0,B18,(1-(1+B17)^(-B18))/B17))/A73/(B12/100))</f>
        <v>27603.414045382087</v>
      </c>
    </row>
    <row r="74" spans="1:7" x14ac:dyDescent="0.25">
      <c r="A74" s="30">
        <v>2.5</v>
      </c>
      <c r="B74" s="16">
        <f>IF(B12=0,"N/A",(B65/IF(B17=0,B18,(1-(1+B17)^(-B18))/B17))/A74/(B12/100))</f>
        <v>6072.7510899840599</v>
      </c>
      <c r="C74" s="16">
        <f>IF(B12=0,"N/A",(C65/IF(B17=0,B18,(1-(1+B17)^(-B18))/B17))/A74/(B12/100))</f>
        <v>9109.1266349760881</v>
      </c>
      <c r="D74" s="16">
        <f>IF(B12=0,"N/A",(D65/IF(B17=0,B18,(1-(1+B17)^(-B18))/B17))/A74/(B12/100))</f>
        <v>12145.50217996812</v>
      </c>
      <c r="E74" s="16">
        <f>IF(B12=0,"N/A",(E65/IF(B17=0,B18,(1-(1+B17)^(-B18))/B17))/A74/(B12/100))</f>
        <v>15181.877724960152</v>
      </c>
      <c r="F74" s="16">
        <f>IF(B12=0,"N/A",(F65/IF(B17=0,B18,(1-(1+B17)^(-B18))/B17))/A74/(B12/100))</f>
        <v>18218.253269952176</v>
      </c>
      <c r="G74" s="16">
        <f>IF(B12=0,"N/A",(G65/IF(B17=0,B18,(1-(1+B17)^(-B18))/B17))/A74/(B12/100))</f>
        <v>24291.00435993624</v>
      </c>
    </row>
    <row r="76" spans="1:7" x14ac:dyDescent="0.25">
      <c r="A76" s="1" t="s">
        <v>45</v>
      </c>
      <c r="B76" s="1"/>
      <c r="C76" s="1"/>
      <c r="D76" s="1"/>
      <c r="E76" s="1"/>
      <c r="F76" s="1"/>
    </row>
    <row r="79" spans="1:7" x14ac:dyDescent="0.25">
      <c r="A79" s="32" t="s">
        <v>46</v>
      </c>
    </row>
    <row r="80" spans="1:7" x14ac:dyDescent="0.25">
      <c r="A80" s="34" t="s">
        <v>47</v>
      </c>
    </row>
    <row r="81" spans="1:1" x14ac:dyDescent="0.25">
      <c r="A81" s="34" t="s">
        <v>48</v>
      </c>
    </row>
    <row r="82" spans="1:1" x14ac:dyDescent="0.25">
      <c r="A82" s="34" t="s">
        <v>49</v>
      </c>
    </row>
    <row r="83" spans="1:1" x14ac:dyDescent="0.25">
      <c r="A83" s="34" t="s">
        <v>50</v>
      </c>
    </row>
    <row r="84" spans="1:1" x14ac:dyDescent="0.25">
      <c r="A84" s="34" t="s">
        <v>51</v>
      </c>
    </row>
  </sheetData>
  <mergeCells count="6">
    <mergeCell ref="A76:F76"/>
    <mergeCell ref="A1:C1"/>
    <mergeCell ref="A2:C2"/>
    <mergeCell ref="A46:H46"/>
    <mergeCell ref="A59:F59"/>
    <mergeCell ref="A63:H63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'Vehicle Data'!$P$2:$P$651</xm:f>
          </x14:formula1>
          <x14:formula2>
            <xm:f>0</xm:f>
          </x14:formula2>
          <xm:sqref>C6:C7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51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20" customWidth="1"/>
    <col min="3" max="3" width="30" customWidth="1"/>
    <col min="16" max="16" width="50" customWidth="1"/>
    <col min="17" max="17" width="15" customWidth="1"/>
  </cols>
  <sheetData>
    <row r="1" spans="1:17" x14ac:dyDescent="0.25">
      <c r="A1" s="35" t="s">
        <v>52</v>
      </c>
      <c r="B1" s="35" t="s">
        <v>53</v>
      </c>
      <c r="C1" s="35" t="s">
        <v>54</v>
      </c>
      <c r="D1" s="35" t="s">
        <v>55</v>
      </c>
      <c r="E1" s="35" t="s">
        <v>56</v>
      </c>
      <c r="F1" s="35" t="s">
        <v>57</v>
      </c>
      <c r="G1" s="35" t="s">
        <v>58</v>
      </c>
      <c r="H1" s="35" t="s">
        <v>59</v>
      </c>
      <c r="I1" s="35" t="s">
        <v>60</v>
      </c>
      <c r="J1" s="35" t="s">
        <v>61</v>
      </c>
      <c r="K1" s="35" t="s">
        <v>62</v>
      </c>
      <c r="L1" s="35" t="s">
        <v>63</v>
      </c>
      <c r="M1" s="35" t="s">
        <v>64</v>
      </c>
      <c r="N1" s="35" t="s">
        <v>65</v>
      </c>
      <c r="O1" s="35" t="s">
        <v>66</v>
      </c>
      <c r="P1" s="35" t="s">
        <v>67</v>
      </c>
      <c r="Q1" s="35" t="s">
        <v>68</v>
      </c>
    </row>
    <row r="2" spans="1:17" x14ac:dyDescent="0.25">
      <c r="A2">
        <v>2025</v>
      </c>
      <c r="B2" t="s">
        <v>69</v>
      </c>
      <c r="C2" t="s">
        <v>70</v>
      </c>
      <c r="D2" t="s">
        <v>71</v>
      </c>
      <c r="E2">
        <v>1.5</v>
      </c>
      <c r="F2">
        <v>4</v>
      </c>
      <c r="G2" t="s">
        <v>72</v>
      </c>
      <c r="H2" t="s">
        <v>73</v>
      </c>
      <c r="I2">
        <v>8.1</v>
      </c>
      <c r="J2">
        <v>6.5</v>
      </c>
      <c r="K2">
        <v>7.4</v>
      </c>
      <c r="L2">
        <v>38</v>
      </c>
      <c r="M2">
        <v>172</v>
      </c>
      <c r="N2">
        <v>6</v>
      </c>
      <c r="O2">
        <v>6</v>
      </c>
      <c r="P2" t="s">
        <v>74</v>
      </c>
      <c r="Q2">
        <v>7.4</v>
      </c>
    </row>
    <row r="3" spans="1:17" x14ac:dyDescent="0.25">
      <c r="A3">
        <v>2025</v>
      </c>
      <c r="B3" t="s">
        <v>69</v>
      </c>
      <c r="C3" t="s">
        <v>70</v>
      </c>
      <c r="D3" t="s">
        <v>71</v>
      </c>
      <c r="E3">
        <v>1.5</v>
      </c>
      <c r="F3">
        <v>4</v>
      </c>
      <c r="G3" t="s">
        <v>75</v>
      </c>
      <c r="H3" t="s">
        <v>73</v>
      </c>
      <c r="I3">
        <v>8.9</v>
      </c>
      <c r="J3">
        <v>6.5</v>
      </c>
      <c r="K3">
        <v>7.8</v>
      </c>
      <c r="L3">
        <v>36</v>
      </c>
      <c r="M3">
        <v>181</v>
      </c>
      <c r="N3">
        <v>6</v>
      </c>
      <c r="O3">
        <v>5</v>
      </c>
      <c r="P3" t="s">
        <v>74</v>
      </c>
      <c r="Q3">
        <v>7.8</v>
      </c>
    </row>
    <row r="4" spans="1:17" x14ac:dyDescent="0.25">
      <c r="A4">
        <v>2025</v>
      </c>
      <c r="B4" t="s">
        <v>69</v>
      </c>
      <c r="C4" t="s">
        <v>76</v>
      </c>
      <c r="D4" t="s">
        <v>71</v>
      </c>
      <c r="E4">
        <v>2</v>
      </c>
      <c r="F4">
        <v>4</v>
      </c>
      <c r="G4" t="s">
        <v>75</v>
      </c>
      <c r="H4" t="s">
        <v>73</v>
      </c>
      <c r="I4">
        <v>11.1</v>
      </c>
      <c r="J4">
        <v>8.3000000000000007</v>
      </c>
      <c r="K4">
        <v>9.9</v>
      </c>
      <c r="L4">
        <v>29</v>
      </c>
      <c r="M4">
        <v>230</v>
      </c>
      <c r="N4">
        <v>5</v>
      </c>
      <c r="O4">
        <v>5</v>
      </c>
      <c r="P4" t="s">
        <v>77</v>
      </c>
      <c r="Q4">
        <v>9.9</v>
      </c>
    </row>
    <row r="5" spans="1:17" x14ac:dyDescent="0.25">
      <c r="A5">
        <v>2025</v>
      </c>
      <c r="B5" t="s">
        <v>69</v>
      </c>
      <c r="C5" t="s">
        <v>78</v>
      </c>
      <c r="D5" t="s">
        <v>79</v>
      </c>
      <c r="E5">
        <v>3.5</v>
      </c>
      <c r="F5">
        <v>6</v>
      </c>
      <c r="G5" t="s">
        <v>80</v>
      </c>
      <c r="H5" t="s">
        <v>73</v>
      </c>
      <c r="I5">
        <v>12.6</v>
      </c>
      <c r="J5">
        <v>9.4</v>
      </c>
      <c r="K5">
        <v>11.2</v>
      </c>
      <c r="L5">
        <v>25</v>
      </c>
      <c r="M5">
        <v>263</v>
      </c>
      <c r="N5">
        <v>4</v>
      </c>
      <c r="O5">
        <v>4</v>
      </c>
      <c r="P5" t="s">
        <v>81</v>
      </c>
      <c r="Q5">
        <v>11.2</v>
      </c>
    </row>
    <row r="6" spans="1:17" x14ac:dyDescent="0.25">
      <c r="A6">
        <v>2025</v>
      </c>
      <c r="B6" t="s">
        <v>69</v>
      </c>
      <c r="C6" t="s">
        <v>82</v>
      </c>
      <c r="D6" t="s">
        <v>83</v>
      </c>
      <c r="E6">
        <v>3</v>
      </c>
      <c r="F6">
        <v>6</v>
      </c>
      <c r="G6" t="s">
        <v>80</v>
      </c>
      <c r="H6" t="s">
        <v>73</v>
      </c>
      <c r="I6">
        <v>13.8</v>
      </c>
      <c r="J6">
        <v>11.2</v>
      </c>
      <c r="K6">
        <v>12.4</v>
      </c>
      <c r="L6">
        <v>23</v>
      </c>
      <c r="M6">
        <v>291</v>
      </c>
      <c r="N6">
        <v>4</v>
      </c>
      <c r="O6">
        <v>4</v>
      </c>
      <c r="P6" t="s">
        <v>84</v>
      </c>
      <c r="Q6">
        <v>12.4</v>
      </c>
    </row>
    <row r="7" spans="1:17" x14ac:dyDescent="0.25">
      <c r="A7">
        <v>2025</v>
      </c>
      <c r="B7" t="s">
        <v>69</v>
      </c>
      <c r="C7" t="s">
        <v>85</v>
      </c>
      <c r="D7" t="s">
        <v>79</v>
      </c>
      <c r="E7">
        <v>2</v>
      </c>
      <c r="F7">
        <v>4</v>
      </c>
      <c r="G7" t="s">
        <v>80</v>
      </c>
      <c r="H7" t="s">
        <v>73</v>
      </c>
      <c r="I7">
        <v>11</v>
      </c>
      <c r="J7">
        <v>8.6</v>
      </c>
      <c r="K7">
        <v>9.9</v>
      </c>
      <c r="L7">
        <v>29</v>
      </c>
      <c r="M7">
        <v>232</v>
      </c>
      <c r="N7">
        <v>5</v>
      </c>
      <c r="O7">
        <v>5</v>
      </c>
      <c r="P7" t="s">
        <v>86</v>
      </c>
      <c r="Q7">
        <v>9.9</v>
      </c>
    </row>
    <row r="8" spans="1:17" x14ac:dyDescent="0.25">
      <c r="A8">
        <v>2025</v>
      </c>
      <c r="B8" t="s">
        <v>69</v>
      </c>
      <c r="C8" t="s">
        <v>87</v>
      </c>
      <c r="D8" t="s">
        <v>79</v>
      </c>
      <c r="E8">
        <v>2</v>
      </c>
      <c r="F8">
        <v>4</v>
      </c>
      <c r="G8" t="s">
        <v>80</v>
      </c>
      <c r="H8" t="s">
        <v>73</v>
      </c>
      <c r="I8">
        <v>11.3</v>
      </c>
      <c r="J8">
        <v>9.1</v>
      </c>
      <c r="K8">
        <v>10.3</v>
      </c>
      <c r="L8">
        <v>27</v>
      </c>
      <c r="M8">
        <v>241</v>
      </c>
      <c r="N8">
        <v>5</v>
      </c>
      <c r="O8">
        <v>5</v>
      </c>
      <c r="P8" t="s">
        <v>88</v>
      </c>
      <c r="Q8">
        <v>10.3</v>
      </c>
    </row>
    <row r="9" spans="1:17" x14ac:dyDescent="0.25">
      <c r="A9">
        <v>2025</v>
      </c>
      <c r="B9" t="s">
        <v>69</v>
      </c>
      <c r="C9" t="s">
        <v>89</v>
      </c>
      <c r="D9" t="s">
        <v>90</v>
      </c>
      <c r="E9">
        <v>2</v>
      </c>
      <c r="F9">
        <v>4</v>
      </c>
      <c r="G9" t="s">
        <v>80</v>
      </c>
      <c r="H9" t="s">
        <v>73</v>
      </c>
      <c r="I9">
        <v>11.3</v>
      </c>
      <c r="J9">
        <v>8.1</v>
      </c>
      <c r="K9">
        <v>9.8000000000000007</v>
      </c>
      <c r="L9">
        <v>29</v>
      </c>
      <c r="M9">
        <v>231</v>
      </c>
      <c r="N9">
        <v>5</v>
      </c>
      <c r="O9">
        <v>6</v>
      </c>
      <c r="P9" t="s">
        <v>91</v>
      </c>
      <c r="Q9">
        <v>9.8000000000000007</v>
      </c>
    </row>
    <row r="10" spans="1:17" x14ac:dyDescent="0.25">
      <c r="A10">
        <v>2025</v>
      </c>
      <c r="B10" t="s">
        <v>69</v>
      </c>
      <c r="C10" t="s">
        <v>92</v>
      </c>
      <c r="D10" t="s">
        <v>90</v>
      </c>
      <c r="E10">
        <v>3</v>
      </c>
      <c r="F10">
        <v>6</v>
      </c>
      <c r="G10" t="s">
        <v>80</v>
      </c>
      <c r="H10" t="s">
        <v>73</v>
      </c>
      <c r="I10">
        <v>12.3</v>
      </c>
      <c r="J10">
        <v>9.8000000000000007</v>
      </c>
      <c r="K10">
        <v>11.2</v>
      </c>
      <c r="L10">
        <v>25</v>
      </c>
      <c r="M10">
        <v>261</v>
      </c>
      <c r="N10">
        <v>4</v>
      </c>
      <c r="O10">
        <v>4</v>
      </c>
      <c r="P10" t="s">
        <v>93</v>
      </c>
      <c r="Q10">
        <v>11.2</v>
      </c>
    </row>
    <row r="11" spans="1:17" x14ac:dyDescent="0.25">
      <c r="A11">
        <v>2025</v>
      </c>
      <c r="B11" t="s">
        <v>94</v>
      </c>
      <c r="C11" t="s">
        <v>95</v>
      </c>
      <c r="D11" t="s">
        <v>96</v>
      </c>
      <c r="E11">
        <v>2</v>
      </c>
      <c r="F11">
        <v>4</v>
      </c>
      <c r="G11" t="s">
        <v>97</v>
      </c>
      <c r="H11" t="s">
        <v>73</v>
      </c>
      <c r="I11">
        <v>10</v>
      </c>
      <c r="J11">
        <v>7.2</v>
      </c>
      <c r="K11">
        <v>8.6999999999999993</v>
      </c>
      <c r="L11">
        <v>32</v>
      </c>
      <c r="M11">
        <v>205</v>
      </c>
      <c r="N11">
        <v>5</v>
      </c>
      <c r="O11">
        <v>4</v>
      </c>
      <c r="P11" t="s">
        <v>98</v>
      </c>
      <c r="Q11">
        <v>8.6999999999999993</v>
      </c>
    </row>
    <row r="12" spans="1:17" x14ac:dyDescent="0.25">
      <c r="A12">
        <v>2025</v>
      </c>
      <c r="B12" t="s">
        <v>94</v>
      </c>
      <c r="C12" t="s">
        <v>99</v>
      </c>
      <c r="D12" t="s">
        <v>96</v>
      </c>
      <c r="E12">
        <v>2</v>
      </c>
      <c r="F12">
        <v>4</v>
      </c>
      <c r="G12" t="s">
        <v>97</v>
      </c>
      <c r="H12" t="s">
        <v>73</v>
      </c>
      <c r="I12">
        <v>10.5</v>
      </c>
      <c r="J12">
        <v>7.7</v>
      </c>
      <c r="K12">
        <v>9.1999999999999993</v>
      </c>
      <c r="L12">
        <v>31</v>
      </c>
      <c r="M12">
        <v>217</v>
      </c>
      <c r="N12">
        <v>5</v>
      </c>
      <c r="O12">
        <v>4</v>
      </c>
      <c r="P12" t="s">
        <v>100</v>
      </c>
      <c r="Q12">
        <v>9.1999999999999993</v>
      </c>
    </row>
    <row r="13" spans="1:17" x14ac:dyDescent="0.25">
      <c r="A13">
        <v>2025</v>
      </c>
      <c r="B13" t="s">
        <v>94</v>
      </c>
      <c r="C13" t="s">
        <v>101</v>
      </c>
      <c r="D13" t="s">
        <v>79</v>
      </c>
      <c r="E13">
        <v>2</v>
      </c>
      <c r="F13">
        <v>4</v>
      </c>
      <c r="G13" t="s">
        <v>97</v>
      </c>
      <c r="H13" t="s">
        <v>73</v>
      </c>
      <c r="I13">
        <v>10.8</v>
      </c>
      <c r="J13">
        <v>8.3000000000000007</v>
      </c>
      <c r="K13">
        <v>9.6</v>
      </c>
      <c r="L13">
        <v>29</v>
      </c>
      <c r="M13">
        <v>226</v>
      </c>
      <c r="N13">
        <v>5</v>
      </c>
      <c r="O13">
        <v>4</v>
      </c>
      <c r="P13" t="s">
        <v>102</v>
      </c>
      <c r="Q13">
        <v>9.6</v>
      </c>
    </row>
    <row r="14" spans="1:17" x14ac:dyDescent="0.25">
      <c r="A14">
        <v>2025</v>
      </c>
      <c r="B14" t="s">
        <v>94</v>
      </c>
      <c r="C14" t="s">
        <v>103</v>
      </c>
      <c r="D14" t="s">
        <v>79</v>
      </c>
      <c r="E14">
        <v>2</v>
      </c>
      <c r="F14">
        <v>4</v>
      </c>
      <c r="G14" t="s">
        <v>104</v>
      </c>
      <c r="H14" t="s">
        <v>105</v>
      </c>
      <c r="I14">
        <v>11.3</v>
      </c>
      <c r="J14">
        <v>8.1</v>
      </c>
      <c r="K14">
        <v>9.9</v>
      </c>
      <c r="L14">
        <v>29</v>
      </c>
      <c r="M14">
        <v>231</v>
      </c>
      <c r="N14">
        <v>5</v>
      </c>
      <c r="O14">
        <v>6</v>
      </c>
      <c r="P14" t="s">
        <v>106</v>
      </c>
      <c r="Q14">
        <v>9.9</v>
      </c>
    </row>
    <row r="15" spans="1:17" x14ac:dyDescent="0.25">
      <c r="A15">
        <v>2025</v>
      </c>
      <c r="B15" t="s">
        <v>107</v>
      </c>
      <c r="C15" t="s">
        <v>108</v>
      </c>
      <c r="D15" t="s">
        <v>109</v>
      </c>
      <c r="E15">
        <v>4</v>
      </c>
      <c r="F15">
        <v>8</v>
      </c>
      <c r="G15" t="s">
        <v>97</v>
      </c>
      <c r="H15" t="s">
        <v>73</v>
      </c>
      <c r="I15">
        <v>15.9</v>
      </c>
      <c r="J15">
        <v>10.5</v>
      </c>
      <c r="K15">
        <v>13.5</v>
      </c>
      <c r="L15">
        <v>21</v>
      </c>
      <c r="M15">
        <v>316</v>
      </c>
      <c r="N15">
        <v>3</v>
      </c>
      <c r="O15">
        <v>4</v>
      </c>
      <c r="P15" t="s">
        <v>110</v>
      </c>
      <c r="Q15">
        <v>13.5</v>
      </c>
    </row>
    <row r="16" spans="1:17" x14ac:dyDescent="0.25">
      <c r="A16">
        <v>2025</v>
      </c>
      <c r="B16" t="s">
        <v>107</v>
      </c>
      <c r="C16" t="s">
        <v>111</v>
      </c>
      <c r="D16" t="s">
        <v>83</v>
      </c>
      <c r="E16">
        <v>4</v>
      </c>
      <c r="F16">
        <v>8</v>
      </c>
      <c r="G16" t="s">
        <v>104</v>
      </c>
      <c r="H16" t="s">
        <v>73</v>
      </c>
      <c r="I16">
        <v>15.7</v>
      </c>
      <c r="J16">
        <v>12</v>
      </c>
      <c r="K16">
        <v>14</v>
      </c>
      <c r="L16">
        <v>20</v>
      </c>
      <c r="M16">
        <v>329</v>
      </c>
      <c r="N16">
        <v>3</v>
      </c>
      <c r="O16">
        <v>4</v>
      </c>
      <c r="P16" t="s">
        <v>112</v>
      </c>
      <c r="Q16">
        <v>14</v>
      </c>
    </row>
    <row r="17" spans="1:17" x14ac:dyDescent="0.25">
      <c r="A17">
        <v>2025</v>
      </c>
      <c r="B17" t="s">
        <v>107</v>
      </c>
      <c r="C17" t="s">
        <v>113</v>
      </c>
      <c r="D17" t="s">
        <v>114</v>
      </c>
      <c r="E17">
        <v>4</v>
      </c>
      <c r="F17">
        <v>8</v>
      </c>
      <c r="G17" t="s">
        <v>97</v>
      </c>
      <c r="H17" t="s">
        <v>73</v>
      </c>
      <c r="I17">
        <v>15.3</v>
      </c>
      <c r="J17">
        <v>10.5</v>
      </c>
      <c r="K17">
        <v>13.1</v>
      </c>
      <c r="L17">
        <v>22</v>
      </c>
      <c r="M17">
        <v>308</v>
      </c>
      <c r="N17">
        <v>4</v>
      </c>
      <c r="O17">
        <v>4</v>
      </c>
      <c r="P17" t="s">
        <v>115</v>
      </c>
      <c r="Q17">
        <v>13.1</v>
      </c>
    </row>
    <row r="18" spans="1:17" x14ac:dyDescent="0.25">
      <c r="A18">
        <v>2025</v>
      </c>
      <c r="B18" t="s">
        <v>116</v>
      </c>
      <c r="C18" t="s">
        <v>117</v>
      </c>
      <c r="D18" t="s">
        <v>118</v>
      </c>
      <c r="E18">
        <v>2</v>
      </c>
      <c r="F18">
        <v>4</v>
      </c>
      <c r="G18" t="s">
        <v>119</v>
      </c>
      <c r="H18" t="s">
        <v>73</v>
      </c>
      <c r="I18">
        <v>9.6</v>
      </c>
      <c r="J18">
        <v>7.3</v>
      </c>
      <c r="K18">
        <v>8.5</v>
      </c>
      <c r="L18">
        <v>33</v>
      </c>
      <c r="M18">
        <v>201</v>
      </c>
      <c r="N18">
        <v>5</v>
      </c>
      <c r="O18">
        <v>6</v>
      </c>
      <c r="P18" t="s">
        <v>120</v>
      </c>
      <c r="Q18">
        <v>8.5</v>
      </c>
    </row>
    <row r="19" spans="1:17" x14ac:dyDescent="0.25">
      <c r="A19">
        <v>2025</v>
      </c>
      <c r="B19" t="s">
        <v>116</v>
      </c>
      <c r="C19" t="s">
        <v>121</v>
      </c>
      <c r="D19" t="s">
        <v>90</v>
      </c>
      <c r="E19">
        <v>2</v>
      </c>
      <c r="F19">
        <v>4</v>
      </c>
      <c r="G19" t="s">
        <v>119</v>
      </c>
      <c r="H19" t="s">
        <v>73</v>
      </c>
      <c r="I19">
        <v>10.1</v>
      </c>
      <c r="J19">
        <v>7.3</v>
      </c>
      <c r="K19">
        <v>8.8000000000000007</v>
      </c>
      <c r="L19">
        <v>32</v>
      </c>
      <c r="M19">
        <v>207</v>
      </c>
      <c r="N19">
        <v>5</v>
      </c>
      <c r="O19">
        <v>4</v>
      </c>
      <c r="P19" t="s">
        <v>122</v>
      </c>
      <c r="Q19">
        <v>8.8000000000000007</v>
      </c>
    </row>
    <row r="20" spans="1:17" x14ac:dyDescent="0.25">
      <c r="A20">
        <v>2025</v>
      </c>
      <c r="B20" t="s">
        <v>116</v>
      </c>
      <c r="C20" t="s">
        <v>123</v>
      </c>
      <c r="D20" t="s">
        <v>124</v>
      </c>
      <c r="E20">
        <v>2</v>
      </c>
      <c r="F20">
        <v>4</v>
      </c>
      <c r="G20" t="s">
        <v>119</v>
      </c>
      <c r="H20" t="s">
        <v>73</v>
      </c>
      <c r="I20">
        <v>10.3</v>
      </c>
      <c r="J20">
        <v>7.8</v>
      </c>
      <c r="K20">
        <v>9.1999999999999993</v>
      </c>
      <c r="L20">
        <v>31</v>
      </c>
      <c r="M20">
        <v>215</v>
      </c>
      <c r="N20">
        <v>5</v>
      </c>
      <c r="O20">
        <v>4</v>
      </c>
      <c r="P20" t="s">
        <v>125</v>
      </c>
      <c r="Q20">
        <v>9.1999999999999993</v>
      </c>
    </row>
    <row r="21" spans="1:17" x14ac:dyDescent="0.25">
      <c r="A21">
        <v>2025</v>
      </c>
      <c r="B21" t="s">
        <v>116</v>
      </c>
      <c r="C21" t="s">
        <v>126</v>
      </c>
      <c r="D21" t="s">
        <v>118</v>
      </c>
      <c r="E21">
        <v>2</v>
      </c>
      <c r="F21">
        <v>4</v>
      </c>
      <c r="G21" t="s">
        <v>119</v>
      </c>
      <c r="H21" t="s">
        <v>73</v>
      </c>
      <c r="I21">
        <v>10.1</v>
      </c>
      <c r="J21">
        <v>7.3</v>
      </c>
      <c r="K21">
        <v>8.8000000000000007</v>
      </c>
      <c r="L21">
        <v>32</v>
      </c>
      <c r="M21">
        <v>207</v>
      </c>
      <c r="N21">
        <v>5</v>
      </c>
      <c r="O21">
        <v>4</v>
      </c>
      <c r="P21" t="s">
        <v>127</v>
      </c>
      <c r="Q21">
        <v>8.8000000000000007</v>
      </c>
    </row>
    <row r="22" spans="1:17" x14ac:dyDescent="0.25">
      <c r="A22">
        <v>2025</v>
      </c>
      <c r="B22" t="s">
        <v>116</v>
      </c>
      <c r="C22" t="s">
        <v>128</v>
      </c>
      <c r="D22" t="s">
        <v>96</v>
      </c>
      <c r="E22">
        <v>2</v>
      </c>
      <c r="F22">
        <v>4</v>
      </c>
      <c r="G22" t="s">
        <v>119</v>
      </c>
      <c r="H22" t="s">
        <v>73</v>
      </c>
      <c r="I22">
        <v>10.5</v>
      </c>
      <c r="J22">
        <v>7.6</v>
      </c>
      <c r="K22">
        <v>9.1999999999999993</v>
      </c>
      <c r="L22">
        <v>31</v>
      </c>
      <c r="M22">
        <v>217</v>
      </c>
      <c r="N22">
        <v>5</v>
      </c>
      <c r="O22">
        <v>4</v>
      </c>
      <c r="P22" t="s">
        <v>129</v>
      </c>
      <c r="Q22">
        <v>9.1999999999999993</v>
      </c>
    </row>
    <row r="23" spans="1:17" x14ac:dyDescent="0.25">
      <c r="A23">
        <v>2025</v>
      </c>
      <c r="B23" t="s">
        <v>116</v>
      </c>
      <c r="C23" t="s">
        <v>130</v>
      </c>
      <c r="D23" t="s">
        <v>96</v>
      </c>
      <c r="E23">
        <v>2</v>
      </c>
      <c r="F23">
        <v>4</v>
      </c>
      <c r="G23" t="s">
        <v>119</v>
      </c>
      <c r="H23" t="s">
        <v>73</v>
      </c>
      <c r="I23">
        <v>10.1</v>
      </c>
      <c r="J23">
        <v>7.3</v>
      </c>
      <c r="K23">
        <v>8.8000000000000007</v>
      </c>
      <c r="L23">
        <v>32</v>
      </c>
      <c r="M23">
        <v>207</v>
      </c>
      <c r="N23">
        <v>5</v>
      </c>
      <c r="O23">
        <v>4</v>
      </c>
      <c r="P23" t="s">
        <v>131</v>
      </c>
      <c r="Q23">
        <v>8.8000000000000007</v>
      </c>
    </row>
    <row r="24" spans="1:17" x14ac:dyDescent="0.25">
      <c r="A24">
        <v>2025</v>
      </c>
      <c r="B24" t="s">
        <v>116</v>
      </c>
      <c r="C24" t="s">
        <v>132</v>
      </c>
      <c r="D24" t="s">
        <v>96</v>
      </c>
      <c r="E24">
        <v>2</v>
      </c>
      <c r="F24">
        <v>4</v>
      </c>
      <c r="G24" t="s">
        <v>119</v>
      </c>
      <c r="H24" t="s">
        <v>73</v>
      </c>
      <c r="I24">
        <v>10</v>
      </c>
      <c r="J24">
        <v>7.7</v>
      </c>
      <c r="K24">
        <v>8.9</v>
      </c>
      <c r="L24">
        <v>32</v>
      </c>
      <c r="M24">
        <v>211</v>
      </c>
      <c r="N24">
        <v>5</v>
      </c>
      <c r="O24">
        <v>4</v>
      </c>
      <c r="P24" t="s">
        <v>133</v>
      </c>
      <c r="Q24">
        <v>8.9</v>
      </c>
    </row>
    <row r="25" spans="1:17" x14ac:dyDescent="0.25">
      <c r="A25">
        <v>2025</v>
      </c>
      <c r="B25" t="s">
        <v>116</v>
      </c>
      <c r="C25" t="s">
        <v>134</v>
      </c>
      <c r="D25" t="s">
        <v>96</v>
      </c>
      <c r="E25">
        <v>3</v>
      </c>
      <c r="F25">
        <v>6</v>
      </c>
      <c r="G25" t="s">
        <v>119</v>
      </c>
      <c r="H25" t="s">
        <v>73</v>
      </c>
      <c r="I25">
        <v>10.9</v>
      </c>
      <c r="J25">
        <v>8</v>
      </c>
      <c r="K25">
        <v>9.6</v>
      </c>
      <c r="L25">
        <v>29</v>
      </c>
      <c r="M25">
        <v>226</v>
      </c>
      <c r="N25">
        <v>5</v>
      </c>
      <c r="O25">
        <v>4</v>
      </c>
      <c r="P25" t="s">
        <v>135</v>
      </c>
      <c r="Q25">
        <v>9.6</v>
      </c>
    </row>
    <row r="26" spans="1:17" x14ac:dyDescent="0.25">
      <c r="A26">
        <v>2025</v>
      </c>
      <c r="B26" t="s">
        <v>116</v>
      </c>
      <c r="C26" t="s">
        <v>136</v>
      </c>
      <c r="D26" t="s">
        <v>137</v>
      </c>
      <c r="E26">
        <v>3</v>
      </c>
      <c r="F26">
        <v>6</v>
      </c>
      <c r="G26" t="s">
        <v>119</v>
      </c>
      <c r="H26" t="s">
        <v>73</v>
      </c>
      <c r="I26">
        <v>10.9</v>
      </c>
      <c r="J26">
        <v>8</v>
      </c>
      <c r="K26">
        <v>9.6</v>
      </c>
      <c r="L26">
        <v>29</v>
      </c>
      <c r="M26">
        <v>226</v>
      </c>
      <c r="N26">
        <v>5</v>
      </c>
      <c r="O26">
        <v>4</v>
      </c>
      <c r="P26" t="s">
        <v>138</v>
      </c>
      <c r="Q26">
        <v>9.6</v>
      </c>
    </row>
    <row r="27" spans="1:17" x14ac:dyDescent="0.25">
      <c r="A27">
        <v>2025</v>
      </c>
      <c r="B27" t="s">
        <v>116</v>
      </c>
      <c r="C27" t="s">
        <v>139</v>
      </c>
      <c r="D27" t="s">
        <v>96</v>
      </c>
      <c r="E27">
        <v>3</v>
      </c>
      <c r="F27">
        <v>6</v>
      </c>
      <c r="G27" t="s">
        <v>119</v>
      </c>
      <c r="H27" t="s">
        <v>73</v>
      </c>
      <c r="I27">
        <v>10.9</v>
      </c>
      <c r="J27">
        <v>8</v>
      </c>
      <c r="K27">
        <v>9.6</v>
      </c>
      <c r="L27">
        <v>29</v>
      </c>
      <c r="M27">
        <v>226</v>
      </c>
      <c r="N27">
        <v>5</v>
      </c>
      <c r="O27">
        <v>4</v>
      </c>
      <c r="P27" t="s">
        <v>140</v>
      </c>
      <c r="Q27">
        <v>9.6</v>
      </c>
    </row>
    <row r="28" spans="1:17" x14ac:dyDescent="0.25">
      <c r="A28">
        <v>2025</v>
      </c>
      <c r="B28" t="s">
        <v>116</v>
      </c>
      <c r="C28" t="s">
        <v>141</v>
      </c>
      <c r="D28" t="s">
        <v>71</v>
      </c>
      <c r="E28">
        <v>3</v>
      </c>
      <c r="F28">
        <v>6</v>
      </c>
      <c r="G28" t="s">
        <v>142</v>
      </c>
      <c r="H28" t="s">
        <v>73</v>
      </c>
      <c r="I28">
        <v>12.6</v>
      </c>
      <c r="J28">
        <v>8.8000000000000007</v>
      </c>
      <c r="K28">
        <v>10.9</v>
      </c>
      <c r="L28">
        <v>26</v>
      </c>
      <c r="M28">
        <v>257</v>
      </c>
      <c r="N28">
        <v>4</v>
      </c>
      <c r="O28">
        <v>4</v>
      </c>
      <c r="P28" t="s">
        <v>143</v>
      </c>
      <c r="Q28">
        <v>10.9</v>
      </c>
    </row>
    <row r="29" spans="1:17" x14ac:dyDescent="0.25">
      <c r="A29">
        <v>2025</v>
      </c>
      <c r="B29" t="s">
        <v>116</v>
      </c>
      <c r="C29" t="s">
        <v>144</v>
      </c>
      <c r="D29" t="s">
        <v>79</v>
      </c>
      <c r="E29">
        <v>2</v>
      </c>
      <c r="F29">
        <v>4</v>
      </c>
      <c r="G29" t="s">
        <v>142</v>
      </c>
      <c r="H29" t="s">
        <v>105</v>
      </c>
      <c r="I29">
        <v>10.7</v>
      </c>
      <c r="J29">
        <v>8</v>
      </c>
      <c r="K29">
        <v>9.5</v>
      </c>
      <c r="L29">
        <v>30</v>
      </c>
      <c r="M29">
        <v>224</v>
      </c>
      <c r="N29">
        <v>5</v>
      </c>
      <c r="O29">
        <v>5</v>
      </c>
      <c r="P29" t="s">
        <v>145</v>
      </c>
      <c r="Q29">
        <v>9.5</v>
      </c>
    </row>
    <row r="30" spans="1:17" x14ac:dyDescent="0.25">
      <c r="A30">
        <v>2025</v>
      </c>
      <c r="B30" t="s">
        <v>116</v>
      </c>
      <c r="C30" t="s">
        <v>146</v>
      </c>
      <c r="D30" t="s">
        <v>79</v>
      </c>
      <c r="E30">
        <v>2</v>
      </c>
      <c r="F30">
        <v>4</v>
      </c>
      <c r="G30" t="s">
        <v>142</v>
      </c>
      <c r="H30" t="s">
        <v>105</v>
      </c>
      <c r="I30">
        <v>11.7</v>
      </c>
      <c r="J30">
        <v>8.3000000000000007</v>
      </c>
      <c r="K30">
        <v>10.199999999999999</v>
      </c>
      <c r="L30">
        <v>28</v>
      </c>
      <c r="M30">
        <v>240</v>
      </c>
      <c r="N30">
        <v>5</v>
      </c>
      <c r="O30">
        <v>6</v>
      </c>
      <c r="P30" t="s">
        <v>147</v>
      </c>
      <c r="Q30">
        <v>10.199999999999999</v>
      </c>
    </row>
    <row r="31" spans="1:17" x14ac:dyDescent="0.25">
      <c r="A31">
        <v>2025</v>
      </c>
      <c r="B31" t="s">
        <v>116</v>
      </c>
      <c r="C31" t="s">
        <v>148</v>
      </c>
      <c r="D31" t="s">
        <v>79</v>
      </c>
      <c r="E31">
        <v>2</v>
      </c>
      <c r="F31">
        <v>4</v>
      </c>
      <c r="G31" t="s">
        <v>119</v>
      </c>
      <c r="H31" t="s">
        <v>73</v>
      </c>
      <c r="I31">
        <v>10.1</v>
      </c>
      <c r="J31">
        <v>8</v>
      </c>
      <c r="K31">
        <v>9.1999999999999993</v>
      </c>
      <c r="L31">
        <v>31</v>
      </c>
      <c r="M31">
        <v>215</v>
      </c>
      <c r="N31">
        <v>5</v>
      </c>
      <c r="O31">
        <v>4</v>
      </c>
      <c r="P31" t="s">
        <v>149</v>
      </c>
      <c r="Q31">
        <v>9.1999999999999993</v>
      </c>
    </row>
    <row r="32" spans="1:17" x14ac:dyDescent="0.25">
      <c r="A32">
        <v>2025</v>
      </c>
      <c r="B32" t="s">
        <v>116</v>
      </c>
      <c r="C32" t="s">
        <v>150</v>
      </c>
      <c r="D32" t="s">
        <v>79</v>
      </c>
      <c r="E32">
        <v>2</v>
      </c>
      <c r="F32">
        <v>4</v>
      </c>
      <c r="G32" t="s">
        <v>119</v>
      </c>
      <c r="H32" t="s">
        <v>73</v>
      </c>
      <c r="I32">
        <v>10.6</v>
      </c>
      <c r="J32">
        <v>8.4</v>
      </c>
      <c r="K32">
        <v>9.6</v>
      </c>
      <c r="L32">
        <v>29</v>
      </c>
      <c r="M32">
        <v>226</v>
      </c>
      <c r="N32">
        <v>5</v>
      </c>
      <c r="O32">
        <v>4</v>
      </c>
      <c r="P32" t="s">
        <v>151</v>
      </c>
      <c r="Q32">
        <v>9.6</v>
      </c>
    </row>
    <row r="33" spans="1:17" x14ac:dyDescent="0.25">
      <c r="A33">
        <v>2025</v>
      </c>
      <c r="B33" t="s">
        <v>116</v>
      </c>
      <c r="C33" t="s">
        <v>152</v>
      </c>
      <c r="D33" t="s">
        <v>79</v>
      </c>
      <c r="E33">
        <v>2</v>
      </c>
      <c r="F33">
        <v>4</v>
      </c>
      <c r="G33" t="s">
        <v>119</v>
      </c>
      <c r="H33" t="s">
        <v>73</v>
      </c>
      <c r="I33">
        <v>10.6</v>
      </c>
      <c r="J33">
        <v>8.4</v>
      </c>
      <c r="K33">
        <v>9.6</v>
      </c>
      <c r="L33">
        <v>29</v>
      </c>
      <c r="M33">
        <v>226</v>
      </c>
      <c r="N33">
        <v>5</v>
      </c>
      <c r="O33">
        <v>4</v>
      </c>
      <c r="P33" t="s">
        <v>153</v>
      </c>
      <c r="Q33">
        <v>9.6</v>
      </c>
    </row>
    <row r="34" spans="1:17" x14ac:dyDescent="0.25">
      <c r="A34">
        <v>2025</v>
      </c>
      <c r="B34" t="s">
        <v>116</v>
      </c>
      <c r="C34" t="s">
        <v>154</v>
      </c>
      <c r="D34" t="s">
        <v>79</v>
      </c>
      <c r="E34">
        <v>2</v>
      </c>
      <c r="F34">
        <v>4</v>
      </c>
      <c r="G34" t="s">
        <v>119</v>
      </c>
      <c r="H34" t="s">
        <v>73</v>
      </c>
      <c r="I34">
        <v>11.2</v>
      </c>
      <c r="J34">
        <v>8.1999999999999993</v>
      </c>
      <c r="K34">
        <v>9.9</v>
      </c>
      <c r="L34">
        <v>29</v>
      </c>
      <c r="M34">
        <v>232</v>
      </c>
      <c r="N34">
        <v>5</v>
      </c>
      <c r="O34">
        <v>6</v>
      </c>
      <c r="P34" t="s">
        <v>155</v>
      </c>
      <c r="Q34">
        <v>9.9</v>
      </c>
    </row>
    <row r="35" spans="1:17" x14ac:dyDescent="0.25">
      <c r="A35">
        <v>2025</v>
      </c>
      <c r="B35" t="s">
        <v>116</v>
      </c>
      <c r="C35" t="s">
        <v>156</v>
      </c>
      <c r="D35" t="s">
        <v>79</v>
      </c>
      <c r="E35">
        <v>2</v>
      </c>
      <c r="F35">
        <v>4</v>
      </c>
      <c r="G35" t="s">
        <v>119</v>
      </c>
      <c r="H35" t="s">
        <v>73</v>
      </c>
      <c r="I35">
        <v>11.2</v>
      </c>
      <c r="J35">
        <v>8.1999999999999993</v>
      </c>
      <c r="K35">
        <v>9.9</v>
      </c>
      <c r="L35">
        <v>29</v>
      </c>
      <c r="M35">
        <v>232</v>
      </c>
      <c r="N35">
        <v>5</v>
      </c>
      <c r="O35">
        <v>6</v>
      </c>
      <c r="P35" t="s">
        <v>157</v>
      </c>
      <c r="Q35">
        <v>9.9</v>
      </c>
    </row>
    <row r="36" spans="1:17" x14ac:dyDescent="0.25">
      <c r="A36">
        <v>2025</v>
      </c>
      <c r="B36" t="s">
        <v>116</v>
      </c>
      <c r="C36" t="s">
        <v>158</v>
      </c>
      <c r="D36" t="s">
        <v>83</v>
      </c>
      <c r="E36">
        <v>2</v>
      </c>
      <c r="F36">
        <v>4</v>
      </c>
      <c r="G36" t="s">
        <v>142</v>
      </c>
      <c r="H36" t="s">
        <v>73</v>
      </c>
      <c r="I36">
        <v>12</v>
      </c>
      <c r="J36">
        <v>9.1999999999999993</v>
      </c>
      <c r="K36">
        <v>10.7</v>
      </c>
      <c r="L36">
        <v>26</v>
      </c>
      <c r="M36">
        <v>252</v>
      </c>
      <c r="N36">
        <v>5</v>
      </c>
      <c r="O36">
        <v>4</v>
      </c>
      <c r="P36" t="s">
        <v>159</v>
      </c>
      <c r="Q36">
        <v>10.7</v>
      </c>
    </row>
    <row r="37" spans="1:17" x14ac:dyDescent="0.25">
      <c r="A37">
        <v>2025</v>
      </c>
      <c r="B37" t="s">
        <v>116</v>
      </c>
      <c r="C37" t="s">
        <v>160</v>
      </c>
      <c r="D37" t="s">
        <v>83</v>
      </c>
      <c r="E37">
        <v>3</v>
      </c>
      <c r="F37">
        <v>6</v>
      </c>
      <c r="G37" t="s">
        <v>142</v>
      </c>
      <c r="H37" t="s">
        <v>73</v>
      </c>
      <c r="I37">
        <v>13</v>
      </c>
      <c r="J37">
        <v>10</v>
      </c>
      <c r="K37">
        <v>11.7</v>
      </c>
      <c r="L37">
        <v>24</v>
      </c>
      <c r="M37">
        <v>275</v>
      </c>
      <c r="N37">
        <v>4</v>
      </c>
      <c r="O37">
        <v>4</v>
      </c>
      <c r="P37" t="s">
        <v>161</v>
      </c>
      <c r="Q37">
        <v>11.7</v>
      </c>
    </row>
    <row r="38" spans="1:17" x14ac:dyDescent="0.25">
      <c r="A38">
        <v>2025</v>
      </c>
      <c r="B38" t="s">
        <v>116</v>
      </c>
      <c r="C38" t="s">
        <v>162</v>
      </c>
      <c r="D38" t="s">
        <v>118</v>
      </c>
      <c r="E38">
        <v>2.5</v>
      </c>
      <c r="F38">
        <v>5</v>
      </c>
      <c r="G38" t="s">
        <v>119</v>
      </c>
      <c r="H38" t="s">
        <v>73</v>
      </c>
      <c r="I38">
        <v>12</v>
      </c>
      <c r="J38">
        <v>8</v>
      </c>
      <c r="K38">
        <v>10.199999999999999</v>
      </c>
      <c r="L38">
        <v>28</v>
      </c>
      <c r="M38">
        <v>239</v>
      </c>
      <c r="N38">
        <v>5</v>
      </c>
      <c r="O38">
        <v>2</v>
      </c>
      <c r="P38" t="s">
        <v>163</v>
      </c>
      <c r="Q38">
        <v>10.199999999999999</v>
      </c>
    </row>
    <row r="39" spans="1:17" x14ac:dyDescent="0.25">
      <c r="A39">
        <v>2025</v>
      </c>
      <c r="B39" t="s">
        <v>116</v>
      </c>
      <c r="C39" t="s">
        <v>164</v>
      </c>
      <c r="D39" t="s">
        <v>118</v>
      </c>
      <c r="E39">
        <v>2.9</v>
      </c>
      <c r="F39">
        <v>6</v>
      </c>
      <c r="G39" t="s">
        <v>142</v>
      </c>
      <c r="H39" t="s">
        <v>73</v>
      </c>
      <c r="I39">
        <v>12.9</v>
      </c>
      <c r="J39">
        <v>9.3000000000000007</v>
      </c>
      <c r="K39">
        <v>11.3</v>
      </c>
      <c r="L39">
        <v>25</v>
      </c>
      <c r="M39">
        <v>264</v>
      </c>
      <c r="N39">
        <v>4</v>
      </c>
      <c r="O39">
        <v>4</v>
      </c>
      <c r="P39" t="s">
        <v>165</v>
      </c>
      <c r="Q39">
        <v>11.3</v>
      </c>
    </row>
    <row r="40" spans="1:17" x14ac:dyDescent="0.25">
      <c r="A40">
        <v>2025</v>
      </c>
      <c r="B40" t="s">
        <v>116</v>
      </c>
      <c r="C40" t="s">
        <v>166</v>
      </c>
      <c r="D40" t="s">
        <v>96</v>
      </c>
      <c r="E40">
        <v>2.9</v>
      </c>
      <c r="F40">
        <v>6</v>
      </c>
      <c r="G40" t="s">
        <v>142</v>
      </c>
      <c r="H40" t="s">
        <v>73</v>
      </c>
      <c r="I40">
        <v>13.3</v>
      </c>
      <c r="J40">
        <v>9.6</v>
      </c>
      <c r="K40">
        <v>11.6</v>
      </c>
      <c r="L40">
        <v>24</v>
      </c>
      <c r="M40">
        <v>272</v>
      </c>
      <c r="N40">
        <v>4</v>
      </c>
      <c r="O40">
        <v>4</v>
      </c>
      <c r="P40" t="s">
        <v>167</v>
      </c>
      <c r="Q40">
        <v>11.6</v>
      </c>
    </row>
    <row r="41" spans="1:17" x14ac:dyDescent="0.25">
      <c r="A41">
        <v>2025</v>
      </c>
      <c r="B41" t="s">
        <v>116</v>
      </c>
      <c r="C41" t="s">
        <v>168</v>
      </c>
      <c r="D41" t="s">
        <v>137</v>
      </c>
      <c r="E41">
        <v>4</v>
      </c>
      <c r="F41">
        <v>8</v>
      </c>
      <c r="G41" t="s">
        <v>142</v>
      </c>
      <c r="H41" t="s">
        <v>73</v>
      </c>
      <c r="I41">
        <v>17</v>
      </c>
      <c r="J41">
        <v>11</v>
      </c>
      <c r="K41">
        <v>14.3</v>
      </c>
      <c r="L41">
        <v>20</v>
      </c>
      <c r="M41">
        <v>336</v>
      </c>
      <c r="N41">
        <v>3</v>
      </c>
      <c r="O41">
        <v>2</v>
      </c>
      <c r="P41" t="s">
        <v>169</v>
      </c>
      <c r="Q41">
        <v>14.3</v>
      </c>
    </row>
    <row r="42" spans="1:17" x14ac:dyDescent="0.25">
      <c r="A42">
        <v>2025</v>
      </c>
      <c r="B42" t="s">
        <v>116</v>
      </c>
      <c r="C42" t="s">
        <v>170</v>
      </c>
      <c r="D42" t="s">
        <v>137</v>
      </c>
      <c r="E42">
        <v>4</v>
      </c>
      <c r="F42">
        <v>8</v>
      </c>
      <c r="G42" t="s">
        <v>142</v>
      </c>
      <c r="H42" t="s">
        <v>73</v>
      </c>
      <c r="I42">
        <v>17</v>
      </c>
      <c r="J42">
        <v>11</v>
      </c>
      <c r="K42">
        <v>14.3</v>
      </c>
      <c r="L42">
        <v>20</v>
      </c>
      <c r="M42">
        <v>336</v>
      </c>
      <c r="N42">
        <v>3</v>
      </c>
      <c r="O42">
        <v>2</v>
      </c>
      <c r="P42" t="s">
        <v>171</v>
      </c>
      <c r="Q42">
        <v>14.3</v>
      </c>
    </row>
    <row r="43" spans="1:17" x14ac:dyDescent="0.25">
      <c r="A43">
        <v>2025</v>
      </c>
      <c r="B43" t="s">
        <v>116</v>
      </c>
      <c r="C43" t="s">
        <v>172</v>
      </c>
      <c r="D43" t="s">
        <v>96</v>
      </c>
      <c r="E43">
        <v>4</v>
      </c>
      <c r="F43">
        <v>8</v>
      </c>
      <c r="G43" t="s">
        <v>142</v>
      </c>
      <c r="H43" t="s">
        <v>73</v>
      </c>
      <c r="I43">
        <v>17</v>
      </c>
      <c r="J43">
        <v>11</v>
      </c>
      <c r="K43">
        <v>14.3</v>
      </c>
      <c r="L43">
        <v>20</v>
      </c>
      <c r="M43">
        <v>336</v>
      </c>
      <c r="N43">
        <v>3</v>
      </c>
      <c r="O43">
        <v>2</v>
      </c>
      <c r="P43" t="s">
        <v>173</v>
      </c>
      <c r="Q43">
        <v>14.3</v>
      </c>
    </row>
    <row r="44" spans="1:17" x14ac:dyDescent="0.25">
      <c r="A44">
        <v>2025</v>
      </c>
      <c r="B44" t="s">
        <v>116</v>
      </c>
      <c r="C44" t="s">
        <v>174</v>
      </c>
      <c r="D44" t="s">
        <v>83</v>
      </c>
      <c r="E44">
        <v>4</v>
      </c>
      <c r="F44">
        <v>8</v>
      </c>
      <c r="G44" t="s">
        <v>142</v>
      </c>
      <c r="H44" t="s">
        <v>73</v>
      </c>
      <c r="I44">
        <v>16.100000000000001</v>
      </c>
      <c r="J44">
        <v>11.7</v>
      </c>
      <c r="K44">
        <v>14.1</v>
      </c>
      <c r="L44">
        <v>20</v>
      </c>
      <c r="M44">
        <v>340</v>
      </c>
      <c r="N44">
        <v>3</v>
      </c>
      <c r="O44">
        <v>2</v>
      </c>
      <c r="P44" t="s">
        <v>175</v>
      </c>
      <c r="Q44">
        <v>14.1</v>
      </c>
    </row>
    <row r="45" spans="1:17" x14ac:dyDescent="0.25">
      <c r="A45">
        <v>2025</v>
      </c>
      <c r="B45" t="s">
        <v>116</v>
      </c>
      <c r="C45" t="s">
        <v>176</v>
      </c>
      <c r="D45" t="s">
        <v>118</v>
      </c>
      <c r="E45">
        <v>2</v>
      </c>
      <c r="F45">
        <v>4</v>
      </c>
      <c r="G45" t="s">
        <v>119</v>
      </c>
      <c r="H45" t="s">
        <v>73</v>
      </c>
      <c r="I45">
        <v>10.4</v>
      </c>
      <c r="J45">
        <v>7.6</v>
      </c>
      <c r="K45">
        <v>9.1</v>
      </c>
      <c r="L45">
        <v>31</v>
      </c>
      <c r="M45">
        <v>215</v>
      </c>
      <c r="N45">
        <v>5</v>
      </c>
      <c r="O45">
        <v>4</v>
      </c>
      <c r="P45" t="s">
        <v>177</v>
      </c>
      <c r="Q45">
        <v>9.1</v>
      </c>
    </row>
    <row r="46" spans="1:17" x14ac:dyDescent="0.25">
      <c r="A46">
        <v>2025</v>
      </c>
      <c r="B46" t="s">
        <v>116</v>
      </c>
      <c r="C46" t="s">
        <v>178</v>
      </c>
      <c r="D46" t="s">
        <v>90</v>
      </c>
      <c r="E46">
        <v>3</v>
      </c>
      <c r="F46">
        <v>6</v>
      </c>
      <c r="G46" t="s">
        <v>142</v>
      </c>
      <c r="H46" t="s">
        <v>73</v>
      </c>
      <c r="I46">
        <v>11</v>
      </c>
      <c r="J46">
        <v>8.1</v>
      </c>
      <c r="K46">
        <v>9.6999999999999993</v>
      </c>
      <c r="L46">
        <v>29</v>
      </c>
      <c r="M46">
        <v>228</v>
      </c>
      <c r="N46">
        <v>5</v>
      </c>
      <c r="O46">
        <v>4</v>
      </c>
      <c r="P46" t="s">
        <v>179</v>
      </c>
      <c r="Q46">
        <v>9.6999999999999993</v>
      </c>
    </row>
    <row r="47" spans="1:17" x14ac:dyDescent="0.25">
      <c r="A47">
        <v>2025</v>
      </c>
      <c r="B47" t="s">
        <v>116</v>
      </c>
      <c r="C47" t="s">
        <v>180</v>
      </c>
      <c r="D47" t="s">
        <v>118</v>
      </c>
      <c r="E47">
        <v>3</v>
      </c>
      <c r="F47">
        <v>6</v>
      </c>
      <c r="G47" t="s">
        <v>142</v>
      </c>
      <c r="H47" t="s">
        <v>73</v>
      </c>
      <c r="I47">
        <v>11</v>
      </c>
      <c r="J47">
        <v>8.1</v>
      </c>
      <c r="K47">
        <v>9.6999999999999993</v>
      </c>
      <c r="L47">
        <v>29</v>
      </c>
      <c r="M47">
        <v>228</v>
      </c>
      <c r="N47">
        <v>5</v>
      </c>
      <c r="O47">
        <v>4</v>
      </c>
      <c r="P47" t="s">
        <v>181</v>
      </c>
      <c r="Q47">
        <v>9.6999999999999993</v>
      </c>
    </row>
    <row r="48" spans="1:17" x14ac:dyDescent="0.25">
      <c r="A48">
        <v>2025</v>
      </c>
      <c r="B48" t="s">
        <v>116</v>
      </c>
      <c r="C48" t="s">
        <v>182</v>
      </c>
      <c r="D48" t="s">
        <v>96</v>
      </c>
      <c r="E48">
        <v>3</v>
      </c>
      <c r="F48">
        <v>6</v>
      </c>
      <c r="G48" t="s">
        <v>119</v>
      </c>
      <c r="H48" t="s">
        <v>73</v>
      </c>
      <c r="I48">
        <v>12.3</v>
      </c>
      <c r="J48">
        <v>8.3000000000000007</v>
      </c>
      <c r="K48">
        <v>10.5</v>
      </c>
      <c r="L48">
        <v>27</v>
      </c>
      <c r="M48">
        <v>247</v>
      </c>
      <c r="N48">
        <v>5</v>
      </c>
      <c r="O48">
        <v>4</v>
      </c>
      <c r="P48" t="s">
        <v>183</v>
      </c>
      <c r="Q48">
        <v>10.5</v>
      </c>
    </row>
    <row r="49" spans="1:17" x14ac:dyDescent="0.25">
      <c r="A49">
        <v>2025</v>
      </c>
      <c r="B49" t="s">
        <v>116</v>
      </c>
      <c r="C49" t="s">
        <v>184</v>
      </c>
      <c r="D49" t="s">
        <v>96</v>
      </c>
      <c r="E49">
        <v>3</v>
      </c>
      <c r="F49">
        <v>6</v>
      </c>
      <c r="G49" t="s">
        <v>142</v>
      </c>
      <c r="H49" t="s">
        <v>73</v>
      </c>
      <c r="I49">
        <v>11.8</v>
      </c>
      <c r="J49">
        <v>8.1999999999999993</v>
      </c>
      <c r="K49">
        <v>10.199999999999999</v>
      </c>
      <c r="L49">
        <v>28</v>
      </c>
      <c r="M49">
        <v>238</v>
      </c>
      <c r="N49">
        <v>5</v>
      </c>
      <c r="O49">
        <v>4</v>
      </c>
      <c r="P49" t="s">
        <v>185</v>
      </c>
      <c r="Q49">
        <v>10.199999999999999</v>
      </c>
    </row>
    <row r="50" spans="1:17" x14ac:dyDescent="0.25">
      <c r="A50">
        <v>2025</v>
      </c>
      <c r="B50" t="s">
        <v>116</v>
      </c>
      <c r="C50" t="s">
        <v>186</v>
      </c>
      <c r="D50" t="s">
        <v>96</v>
      </c>
      <c r="E50">
        <v>2.9</v>
      </c>
      <c r="F50">
        <v>6</v>
      </c>
      <c r="G50" t="s">
        <v>142</v>
      </c>
      <c r="H50" t="s">
        <v>73</v>
      </c>
      <c r="I50">
        <v>12.4</v>
      </c>
      <c r="J50">
        <v>8.9</v>
      </c>
      <c r="K50">
        <v>10.8</v>
      </c>
      <c r="L50">
        <v>26</v>
      </c>
      <c r="M50">
        <v>254</v>
      </c>
      <c r="N50">
        <v>5</v>
      </c>
      <c r="O50">
        <v>4</v>
      </c>
      <c r="P50" t="s">
        <v>187</v>
      </c>
      <c r="Q50">
        <v>10.8</v>
      </c>
    </row>
    <row r="51" spans="1:17" x14ac:dyDescent="0.25">
      <c r="A51">
        <v>2025</v>
      </c>
      <c r="B51" t="s">
        <v>116</v>
      </c>
      <c r="C51" t="s">
        <v>188</v>
      </c>
      <c r="D51" t="s">
        <v>96</v>
      </c>
      <c r="E51">
        <v>2.9</v>
      </c>
      <c r="F51">
        <v>6</v>
      </c>
      <c r="G51" t="s">
        <v>142</v>
      </c>
      <c r="H51" t="s">
        <v>73</v>
      </c>
      <c r="I51">
        <v>12.4</v>
      </c>
      <c r="J51">
        <v>8.9</v>
      </c>
      <c r="K51">
        <v>10.8</v>
      </c>
      <c r="L51">
        <v>26</v>
      </c>
      <c r="M51">
        <v>254</v>
      </c>
      <c r="N51">
        <v>5</v>
      </c>
      <c r="O51">
        <v>4</v>
      </c>
      <c r="P51" t="s">
        <v>189</v>
      </c>
      <c r="Q51">
        <v>10.8</v>
      </c>
    </row>
    <row r="52" spans="1:17" x14ac:dyDescent="0.25">
      <c r="A52">
        <v>2025</v>
      </c>
      <c r="B52" t="s">
        <v>116</v>
      </c>
      <c r="C52" t="s">
        <v>190</v>
      </c>
      <c r="D52" t="s">
        <v>71</v>
      </c>
      <c r="E52">
        <v>4</v>
      </c>
      <c r="F52">
        <v>8</v>
      </c>
      <c r="G52" t="s">
        <v>142</v>
      </c>
      <c r="H52" t="s">
        <v>73</v>
      </c>
      <c r="I52">
        <v>16</v>
      </c>
      <c r="J52">
        <v>10</v>
      </c>
      <c r="K52">
        <v>13.3</v>
      </c>
      <c r="L52">
        <v>21</v>
      </c>
      <c r="M52">
        <v>312</v>
      </c>
      <c r="N52">
        <v>4</v>
      </c>
      <c r="O52">
        <v>2</v>
      </c>
      <c r="P52" t="s">
        <v>191</v>
      </c>
      <c r="Q52">
        <v>13.3</v>
      </c>
    </row>
    <row r="53" spans="1:17" x14ac:dyDescent="0.25">
      <c r="A53">
        <v>2025</v>
      </c>
      <c r="B53" t="s">
        <v>116</v>
      </c>
      <c r="C53" t="s">
        <v>192</v>
      </c>
      <c r="D53" t="s">
        <v>79</v>
      </c>
      <c r="E53">
        <v>3</v>
      </c>
      <c r="F53">
        <v>6</v>
      </c>
      <c r="G53" t="s">
        <v>142</v>
      </c>
      <c r="H53" t="s">
        <v>73</v>
      </c>
      <c r="I53">
        <v>12.6</v>
      </c>
      <c r="J53">
        <v>9.8000000000000007</v>
      </c>
      <c r="K53">
        <v>11.4</v>
      </c>
      <c r="L53">
        <v>25</v>
      </c>
      <c r="M53">
        <v>266</v>
      </c>
      <c r="N53">
        <v>4</v>
      </c>
      <c r="O53">
        <v>4</v>
      </c>
      <c r="P53" t="s">
        <v>193</v>
      </c>
      <c r="Q53">
        <v>11.4</v>
      </c>
    </row>
    <row r="54" spans="1:17" x14ac:dyDescent="0.25">
      <c r="A54">
        <v>2025</v>
      </c>
      <c r="B54" t="s">
        <v>116</v>
      </c>
      <c r="C54" t="s">
        <v>194</v>
      </c>
      <c r="D54" t="s">
        <v>79</v>
      </c>
      <c r="E54">
        <v>3</v>
      </c>
      <c r="F54">
        <v>6</v>
      </c>
      <c r="G54" t="s">
        <v>142</v>
      </c>
      <c r="H54" t="s">
        <v>73</v>
      </c>
      <c r="I54">
        <v>12.6</v>
      </c>
      <c r="J54">
        <v>9.8000000000000007</v>
      </c>
      <c r="K54">
        <v>11.4</v>
      </c>
      <c r="L54">
        <v>25</v>
      </c>
      <c r="M54">
        <v>266</v>
      </c>
      <c r="N54">
        <v>4</v>
      </c>
      <c r="O54">
        <v>4</v>
      </c>
      <c r="P54" t="s">
        <v>195</v>
      </c>
      <c r="Q54">
        <v>11.4</v>
      </c>
    </row>
    <row r="55" spans="1:17" x14ac:dyDescent="0.25">
      <c r="A55">
        <v>2025</v>
      </c>
      <c r="B55" t="s">
        <v>116</v>
      </c>
      <c r="C55" t="s">
        <v>196</v>
      </c>
      <c r="D55" t="s">
        <v>79</v>
      </c>
      <c r="E55">
        <v>3</v>
      </c>
      <c r="F55">
        <v>6</v>
      </c>
      <c r="G55" t="s">
        <v>119</v>
      </c>
      <c r="H55" t="s">
        <v>73</v>
      </c>
      <c r="I55">
        <v>12.2</v>
      </c>
      <c r="J55">
        <v>8.9</v>
      </c>
      <c r="K55">
        <v>10.7</v>
      </c>
      <c r="L55">
        <v>26</v>
      </c>
      <c r="M55">
        <v>251</v>
      </c>
      <c r="N55">
        <v>5</v>
      </c>
      <c r="O55">
        <v>4</v>
      </c>
      <c r="P55" t="s">
        <v>197</v>
      </c>
      <c r="Q55">
        <v>10.7</v>
      </c>
    </row>
    <row r="56" spans="1:17" x14ac:dyDescent="0.25">
      <c r="A56">
        <v>2025</v>
      </c>
      <c r="B56" t="s">
        <v>116</v>
      </c>
      <c r="C56" t="s">
        <v>198</v>
      </c>
      <c r="D56" t="s">
        <v>79</v>
      </c>
      <c r="E56">
        <v>3</v>
      </c>
      <c r="F56">
        <v>6</v>
      </c>
      <c r="G56" t="s">
        <v>119</v>
      </c>
      <c r="H56" t="s">
        <v>73</v>
      </c>
      <c r="I56">
        <v>12.2</v>
      </c>
      <c r="J56">
        <v>8.9</v>
      </c>
      <c r="K56">
        <v>10.7</v>
      </c>
      <c r="L56">
        <v>26</v>
      </c>
      <c r="M56">
        <v>251</v>
      </c>
      <c r="N56">
        <v>5</v>
      </c>
      <c r="O56">
        <v>4</v>
      </c>
      <c r="P56" t="s">
        <v>199</v>
      </c>
      <c r="Q56">
        <v>10.7</v>
      </c>
    </row>
    <row r="57" spans="1:17" x14ac:dyDescent="0.25">
      <c r="A57">
        <v>2025</v>
      </c>
      <c r="B57" t="s">
        <v>116</v>
      </c>
      <c r="C57" t="s">
        <v>200</v>
      </c>
      <c r="D57" t="s">
        <v>83</v>
      </c>
      <c r="E57">
        <v>4</v>
      </c>
      <c r="F57">
        <v>8</v>
      </c>
      <c r="G57" t="s">
        <v>142</v>
      </c>
      <c r="H57" t="s">
        <v>73</v>
      </c>
      <c r="I57">
        <v>16</v>
      </c>
      <c r="J57">
        <v>11.2</v>
      </c>
      <c r="K57">
        <v>13.8</v>
      </c>
      <c r="L57">
        <v>20</v>
      </c>
      <c r="M57">
        <v>325</v>
      </c>
      <c r="N57">
        <v>3</v>
      </c>
      <c r="O57">
        <v>2</v>
      </c>
      <c r="P57" t="s">
        <v>201</v>
      </c>
      <c r="Q57">
        <v>13.8</v>
      </c>
    </row>
    <row r="58" spans="1:17" x14ac:dyDescent="0.25">
      <c r="A58">
        <v>2025</v>
      </c>
      <c r="B58" t="s">
        <v>116</v>
      </c>
      <c r="C58" t="s">
        <v>202</v>
      </c>
      <c r="D58" t="s">
        <v>83</v>
      </c>
      <c r="E58">
        <v>4</v>
      </c>
      <c r="F58">
        <v>8</v>
      </c>
      <c r="G58" t="s">
        <v>142</v>
      </c>
      <c r="H58" t="s">
        <v>73</v>
      </c>
      <c r="I58">
        <v>16.100000000000001</v>
      </c>
      <c r="J58">
        <v>11.9</v>
      </c>
      <c r="K58">
        <v>14.2</v>
      </c>
      <c r="L58">
        <v>20</v>
      </c>
      <c r="M58">
        <v>335</v>
      </c>
      <c r="N58">
        <v>3</v>
      </c>
      <c r="O58">
        <v>2</v>
      </c>
      <c r="P58" t="s">
        <v>203</v>
      </c>
      <c r="Q58">
        <v>14.2</v>
      </c>
    </row>
    <row r="59" spans="1:17" x14ac:dyDescent="0.25">
      <c r="A59">
        <v>2025</v>
      </c>
      <c r="B59" t="s">
        <v>204</v>
      </c>
      <c r="C59" t="s">
        <v>205</v>
      </c>
      <c r="D59" t="s">
        <v>83</v>
      </c>
      <c r="E59">
        <v>4</v>
      </c>
      <c r="F59">
        <v>8</v>
      </c>
      <c r="G59" t="s">
        <v>142</v>
      </c>
      <c r="H59" t="s">
        <v>73</v>
      </c>
      <c r="I59">
        <v>17.100000000000001</v>
      </c>
      <c r="J59">
        <v>11.4</v>
      </c>
      <c r="K59">
        <v>14.6</v>
      </c>
      <c r="L59">
        <v>19</v>
      </c>
      <c r="M59">
        <v>343</v>
      </c>
      <c r="N59">
        <v>3</v>
      </c>
      <c r="O59">
        <v>2</v>
      </c>
      <c r="P59" t="s">
        <v>206</v>
      </c>
      <c r="Q59">
        <v>14.6</v>
      </c>
    </row>
    <row r="60" spans="1:17" x14ac:dyDescent="0.25">
      <c r="A60">
        <v>2025</v>
      </c>
      <c r="B60" t="s">
        <v>204</v>
      </c>
      <c r="C60" t="s">
        <v>207</v>
      </c>
      <c r="D60" t="s">
        <v>83</v>
      </c>
      <c r="E60">
        <v>4</v>
      </c>
      <c r="F60">
        <v>8</v>
      </c>
      <c r="G60" t="s">
        <v>142</v>
      </c>
      <c r="H60" t="s">
        <v>73</v>
      </c>
      <c r="I60">
        <v>17.100000000000001</v>
      </c>
      <c r="J60">
        <v>11.4</v>
      </c>
      <c r="K60">
        <v>14.6</v>
      </c>
      <c r="L60">
        <v>19</v>
      </c>
      <c r="M60">
        <v>343</v>
      </c>
      <c r="N60">
        <v>3</v>
      </c>
      <c r="O60">
        <v>2</v>
      </c>
      <c r="P60" t="s">
        <v>208</v>
      </c>
      <c r="Q60">
        <v>14.6</v>
      </c>
    </row>
    <row r="61" spans="1:17" x14ac:dyDescent="0.25">
      <c r="A61">
        <v>2025</v>
      </c>
      <c r="B61" t="s">
        <v>209</v>
      </c>
      <c r="C61" t="s">
        <v>210</v>
      </c>
      <c r="D61" t="s">
        <v>118</v>
      </c>
      <c r="E61">
        <v>2</v>
      </c>
      <c r="F61">
        <v>4</v>
      </c>
      <c r="G61" t="s">
        <v>142</v>
      </c>
      <c r="H61" t="s">
        <v>73</v>
      </c>
      <c r="I61">
        <v>9.5</v>
      </c>
      <c r="J61">
        <v>7.1</v>
      </c>
      <c r="K61">
        <v>8.4</v>
      </c>
      <c r="L61">
        <v>34</v>
      </c>
      <c r="M61">
        <v>194</v>
      </c>
      <c r="N61">
        <v>6</v>
      </c>
      <c r="O61">
        <v>2</v>
      </c>
      <c r="P61" t="s">
        <v>211</v>
      </c>
      <c r="Q61">
        <v>8.4</v>
      </c>
    </row>
    <row r="62" spans="1:17" x14ac:dyDescent="0.25">
      <c r="A62">
        <v>2025</v>
      </c>
      <c r="B62" t="s">
        <v>209</v>
      </c>
      <c r="C62" t="s">
        <v>212</v>
      </c>
      <c r="D62" t="s">
        <v>90</v>
      </c>
      <c r="E62">
        <v>2</v>
      </c>
      <c r="F62">
        <v>4</v>
      </c>
      <c r="G62" t="s">
        <v>142</v>
      </c>
      <c r="H62" t="s">
        <v>73</v>
      </c>
      <c r="I62">
        <v>8.9</v>
      </c>
      <c r="J62">
        <v>6.9</v>
      </c>
      <c r="K62">
        <v>8</v>
      </c>
      <c r="L62">
        <v>35</v>
      </c>
      <c r="M62">
        <v>185</v>
      </c>
      <c r="N62">
        <v>6</v>
      </c>
      <c r="O62">
        <v>7</v>
      </c>
      <c r="P62" t="s">
        <v>213</v>
      </c>
      <c r="Q62">
        <v>8</v>
      </c>
    </row>
    <row r="63" spans="1:17" x14ac:dyDescent="0.25">
      <c r="A63">
        <v>2025</v>
      </c>
      <c r="B63" t="s">
        <v>209</v>
      </c>
      <c r="C63" t="s">
        <v>214</v>
      </c>
      <c r="D63" t="s">
        <v>118</v>
      </c>
      <c r="E63">
        <v>2</v>
      </c>
      <c r="F63">
        <v>4</v>
      </c>
      <c r="G63" t="s">
        <v>142</v>
      </c>
      <c r="H63" t="s">
        <v>73</v>
      </c>
      <c r="I63">
        <v>9.6</v>
      </c>
      <c r="J63">
        <v>7.1</v>
      </c>
      <c r="K63">
        <v>8.5</v>
      </c>
      <c r="L63">
        <v>33</v>
      </c>
      <c r="M63">
        <v>196</v>
      </c>
      <c r="N63">
        <v>6</v>
      </c>
      <c r="O63">
        <v>7</v>
      </c>
      <c r="P63" t="s">
        <v>215</v>
      </c>
      <c r="Q63">
        <v>8.5</v>
      </c>
    </row>
    <row r="64" spans="1:17" x14ac:dyDescent="0.25">
      <c r="A64">
        <v>2025</v>
      </c>
      <c r="B64" t="s">
        <v>209</v>
      </c>
      <c r="C64" t="s">
        <v>216</v>
      </c>
      <c r="D64" t="s">
        <v>118</v>
      </c>
      <c r="E64">
        <v>2</v>
      </c>
      <c r="F64">
        <v>4</v>
      </c>
      <c r="G64" t="s">
        <v>142</v>
      </c>
      <c r="H64" t="s">
        <v>73</v>
      </c>
      <c r="I64">
        <v>8.6999999999999993</v>
      </c>
      <c r="J64">
        <v>6.9</v>
      </c>
      <c r="K64">
        <v>7.9</v>
      </c>
      <c r="L64">
        <v>36</v>
      </c>
      <c r="M64">
        <v>183</v>
      </c>
      <c r="N64">
        <v>6</v>
      </c>
      <c r="O64">
        <v>7</v>
      </c>
      <c r="P64" t="s">
        <v>217</v>
      </c>
      <c r="Q64">
        <v>7.9</v>
      </c>
    </row>
    <row r="65" spans="1:17" x14ac:dyDescent="0.25">
      <c r="A65">
        <v>2025</v>
      </c>
      <c r="B65" t="s">
        <v>209</v>
      </c>
      <c r="C65" t="s">
        <v>218</v>
      </c>
      <c r="D65" t="s">
        <v>96</v>
      </c>
      <c r="E65">
        <v>2</v>
      </c>
      <c r="F65">
        <v>4</v>
      </c>
      <c r="G65" t="s">
        <v>142</v>
      </c>
      <c r="H65" t="s">
        <v>73</v>
      </c>
      <c r="I65">
        <v>8.6999999999999993</v>
      </c>
      <c r="J65">
        <v>6.8</v>
      </c>
      <c r="K65">
        <v>7.9</v>
      </c>
      <c r="L65">
        <v>36</v>
      </c>
      <c r="M65">
        <v>182</v>
      </c>
      <c r="N65">
        <v>6</v>
      </c>
      <c r="O65">
        <v>6</v>
      </c>
      <c r="P65" t="s">
        <v>219</v>
      </c>
      <c r="Q65">
        <v>7.9</v>
      </c>
    </row>
    <row r="66" spans="1:17" x14ac:dyDescent="0.25">
      <c r="A66">
        <v>2025</v>
      </c>
      <c r="B66" t="s">
        <v>209</v>
      </c>
      <c r="C66" t="s">
        <v>220</v>
      </c>
      <c r="D66" t="s">
        <v>71</v>
      </c>
      <c r="E66">
        <v>4.4000000000000004</v>
      </c>
      <c r="F66">
        <v>8</v>
      </c>
      <c r="G66" t="s">
        <v>142</v>
      </c>
      <c r="H66" t="s">
        <v>73</v>
      </c>
      <c r="I66">
        <v>13.3</v>
      </c>
      <c r="J66">
        <v>9.3000000000000007</v>
      </c>
      <c r="K66">
        <v>11.5</v>
      </c>
      <c r="L66">
        <v>25</v>
      </c>
      <c r="M66">
        <v>265</v>
      </c>
      <c r="N66">
        <v>4</v>
      </c>
      <c r="O66">
        <v>4</v>
      </c>
      <c r="P66" t="s">
        <v>221</v>
      </c>
      <c r="Q66">
        <v>11.5</v>
      </c>
    </row>
    <row r="67" spans="1:17" x14ac:dyDescent="0.25">
      <c r="A67">
        <v>2025</v>
      </c>
      <c r="B67" t="s">
        <v>209</v>
      </c>
      <c r="C67" t="s">
        <v>222</v>
      </c>
      <c r="D67" t="s">
        <v>83</v>
      </c>
      <c r="E67">
        <v>4.4000000000000004</v>
      </c>
      <c r="F67">
        <v>8</v>
      </c>
      <c r="G67" t="s">
        <v>142</v>
      </c>
      <c r="H67" t="s">
        <v>73</v>
      </c>
      <c r="I67">
        <v>15.2</v>
      </c>
      <c r="J67">
        <v>11.6</v>
      </c>
      <c r="K67">
        <v>13.6</v>
      </c>
      <c r="L67">
        <v>21</v>
      </c>
      <c r="M67">
        <v>314</v>
      </c>
      <c r="N67">
        <v>4</v>
      </c>
      <c r="O67">
        <v>4</v>
      </c>
      <c r="P67" t="s">
        <v>223</v>
      </c>
      <c r="Q67">
        <v>13.6</v>
      </c>
    </row>
    <row r="68" spans="1:17" x14ac:dyDescent="0.25">
      <c r="A68">
        <v>2025</v>
      </c>
      <c r="B68" t="s">
        <v>209</v>
      </c>
      <c r="C68" t="s">
        <v>224</v>
      </c>
      <c r="D68" t="s">
        <v>118</v>
      </c>
      <c r="E68">
        <v>3</v>
      </c>
      <c r="F68">
        <v>6</v>
      </c>
      <c r="G68" t="s">
        <v>142</v>
      </c>
      <c r="H68" t="s">
        <v>73</v>
      </c>
      <c r="I68">
        <v>14.4</v>
      </c>
      <c r="J68">
        <v>10.3</v>
      </c>
      <c r="K68">
        <v>12.5</v>
      </c>
      <c r="L68">
        <v>23</v>
      </c>
      <c r="M68">
        <v>290</v>
      </c>
      <c r="N68">
        <v>4</v>
      </c>
      <c r="O68">
        <v>4</v>
      </c>
      <c r="P68" t="s">
        <v>225</v>
      </c>
      <c r="Q68">
        <v>12.5</v>
      </c>
    </row>
    <row r="69" spans="1:17" x14ac:dyDescent="0.25">
      <c r="A69">
        <v>2025</v>
      </c>
      <c r="B69" t="s">
        <v>209</v>
      </c>
      <c r="C69" t="s">
        <v>224</v>
      </c>
      <c r="D69" t="s">
        <v>118</v>
      </c>
      <c r="E69">
        <v>3</v>
      </c>
      <c r="F69">
        <v>6</v>
      </c>
      <c r="G69" t="s">
        <v>75</v>
      </c>
      <c r="H69" t="s">
        <v>73</v>
      </c>
      <c r="I69">
        <v>14.7</v>
      </c>
      <c r="J69">
        <v>10</v>
      </c>
      <c r="K69">
        <v>12.6</v>
      </c>
      <c r="L69">
        <v>22</v>
      </c>
      <c r="M69">
        <v>294</v>
      </c>
      <c r="N69">
        <v>4</v>
      </c>
      <c r="O69">
        <v>4</v>
      </c>
      <c r="P69" t="s">
        <v>225</v>
      </c>
      <c r="Q69">
        <v>12.6</v>
      </c>
    </row>
    <row r="70" spans="1:17" x14ac:dyDescent="0.25">
      <c r="A70">
        <v>2025</v>
      </c>
      <c r="B70" t="s">
        <v>209</v>
      </c>
      <c r="C70" t="s">
        <v>226</v>
      </c>
      <c r="D70" t="s">
        <v>118</v>
      </c>
      <c r="E70">
        <v>3</v>
      </c>
      <c r="F70">
        <v>6</v>
      </c>
      <c r="G70" t="s">
        <v>142</v>
      </c>
      <c r="H70" t="s">
        <v>73</v>
      </c>
      <c r="I70">
        <v>10.3</v>
      </c>
      <c r="J70">
        <v>7.3</v>
      </c>
      <c r="K70">
        <v>9</v>
      </c>
      <c r="L70">
        <v>31</v>
      </c>
      <c r="M70">
        <v>209</v>
      </c>
      <c r="N70">
        <v>5</v>
      </c>
      <c r="O70">
        <v>4</v>
      </c>
      <c r="P70" t="s">
        <v>227</v>
      </c>
      <c r="Q70">
        <v>9</v>
      </c>
    </row>
    <row r="71" spans="1:17" x14ac:dyDescent="0.25">
      <c r="A71">
        <v>2025</v>
      </c>
      <c r="B71" t="s">
        <v>209</v>
      </c>
      <c r="C71" t="s">
        <v>228</v>
      </c>
      <c r="D71" t="s">
        <v>90</v>
      </c>
      <c r="E71">
        <v>3</v>
      </c>
      <c r="F71">
        <v>6</v>
      </c>
      <c r="G71" t="s">
        <v>75</v>
      </c>
      <c r="H71" t="s">
        <v>73</v>
      </c>
      <c r="I71">
        <v>14.7</v>
      </c>
      <c r="J71">
        <v>10.1</v>
      </c>
      <c r="K71">
        <v>12.6</v>
      </c>
      <c r="L71">
        <v>22</v>
      </c>
      <c r="M71">
        <v>293</v>
      </c>
      <c r="N71">
        <v>4</v>
      </c>
      <c r="O71">
        <v>4</v>
      </c>
      <c r="P71" t="s">
        <v>229</v>
      </c>
      <c r="Q71">
        <v>12.6</v>
      </c>
    </row>
    <row r="72" spans="1:17" x14ac:dyDescent="0.25">
      <c r="A72">
        <v>2025</v>
      </c>
      <c r="B72" t="s">
        <v>209</v>
      </c>
      <c r="C72" t="s">
        <v>230</v>
      </c>
      <c r="D72" t="s">
        <v>90</v>
      </c>
      <c r="E72">
        <v>3</v>
      </c>
      <c r="F72">
        <v>6</v>
      </c>
      <c r="G72" t="s">
        <v>142</v>
      </c>
      <c r="H72" t="s">
        <v>73</v>
      </c>
      <c r="I72">
        <v>14.5</v>
      </c>
      <c r="J72">
        <v>10.199999999999999</v>
      </c>
      <c r="K72">
        <v>12.6</v>
      </c>
      <c r="L72">
        <v>22</v>
      </c>
      <c r="M72">
        <v>292</v>
      </c>
      <c r="N72">
        <v>4</v>
      </c>
      <c r="O72">
        <v>4</v>
      </c>
      <c r="P72" t="s">
        <v>231</v>
      </c>
      <c r="Q72">
        <v>12.6</v>
      </c>
    </row>
    <row r="73" spans="1:17" x14ac:dyDescent="0.25">
      <c r="A73">
        <v>2025</v>
      </c>
      <c r="B73" t="s">
        <v>209</v>
      </c>
      <c r="C73" t="s">
        <v>232</v>
      </c>
      <c r="D73" t="s">
        <v>90</v>
      </c>
      <c r="E73">
        <v>3</v>
      </c>
      <c r="F73">
        <v>6</v>
      </c>
      <c r="G73" t="s">
        <v>142</v>
      </c>
      <c r="H73" t="s">
        <v>73</v>
      </c>
      <c r="I73">
        <v>14.9</v>
      </c>
      <c r="J73">
        <v>10.3</v>
      </c>
      <c r="K73">
        <v>12.8</v>
      </c>
      <c r="L73">
        <v>22</v>
      </c>
      <c r="M73">
        <v>296</v>
      </c>
      <c r="N73">
        <v>4</v>
      </c>
      <c r="O73">
        <v>4</v>
      </c>
      <c r="P73" t="s">
        <v>233</v>
      </c>
      <c r="Q73">
        <v>12.8</v>
      </c>
    </row>
    <row r="74" spans="1:17" x14ac:dyDescent="0.25">
      <c r="A74">
        <v>2025</v>
      </c>
      <c r="B74" t="s">
        <v>209</v>
      </c>
      <c r="C74" t="s">
        <v>234</v>
      </c>
      <c r="D74" t="s">
        <v>90</v>
      </c>
      <c r="E74">
        <v>3</v>
      </c>
      <c r="F74">
        <v>6</v>
      </c>
      <c r="G74" t="s">
        <v>142</v>
      </c>
      <c r="H74" t="s">
        <v>73</v>
      </c>
      <c r="I74">
        <v>9</v>
      </c>
      <c r="J74">
        <v>7.1</v>
      </c>
      <c r="K74">
        <v>8.1999999999999993</v>
      </c>
      <c r="L74">
        <v>34</v>
      </c>
      <c r="M74">
        <v>189</v>
      </c>
      <c r="N74">
        <v>6</v>
      </c>
      <c r="O74">
        <v>6</v>
      </c>
      <c r="P74" t="s">
        <v>235</v>
      </c>
      <c r="Q74">
        <v>8.1999999999999993</v>
      </c>
    </row>
    <row r="75" spans="1:17" x14ac:dyDescent="0.25">
      <c r="A75">
        <v>2025</v>
      </c>
      <c r="B75" t="s">
        <v>209</v>
      </c>
      <c r="C75" t="s">
        <v>236</v>
      </c>
      <c r="D75" t="s">
        <v>118</v>
      </c>
      <c r="E75">
        <v>3</v>
      </c>
      <c r="F75">
        <v>6</v>
      </c>
      <c r="G75" t="s">
        <v>75</v>
      </c>
      <c r="H75" t="s">
        <v>73</v>
      </c>
      <c r="I75">
        <v>14.7</v>
      </c>
      <c r="J75">
        <v>10.1</v>
      </c>
      <c r="K75">
        <v>12.6</v>
      </c>
      <c r="L75">
        <v>22</v>
      </c>
      <c r="M75">
        <v>293</v>
      </c>
      <c r="N75">
        <v>4</v>
      </c>
      <c r="O75">
        <v>4</v>
      </c>
      <c r="P75" t="s">
        <v>237</v>
      </c>
      <c r="Q75">
        <v>12.6</v>
      </c>
    </row>
    <row r="76" spans="1:17" x14ac:dyDescent="0.25">
      <c r="A76">
        <v>2025</v>
      </c>
      <c r="B76" t="s">
        <v>209</v>
      </c>
      <c r="C76" t="s">
        <v>238</v>
      </c>
      <c r="D76" t="s">
        <v>118</v>
      </c>
      <c r="E76">
        <v>3</v>
      </c>
      <c r="F76">
        <v>6</v>
      </c>
      <c r="G76" t="s">
        <v>142</v>
      </c>
      <c r="H76" t="s">
        <v>73</v>
      </c>
      <c r="I76">
        <v>14.5</v>
      </c>
      <c r="J76">
        <v>10.199999999999999</v>
      </c>
      <c r="K76">
        <v>12.6</v>
      </c>
      <c r="L76">
        <v>22</v>
      </c>
      <c r="M76">
        <v>292</v>
      </c>
      <c r="N76">
        <v>4</v>
      </c>
      <c r="O76">
        <v>4</v>
      </c>
      <c r="P76" t="s">
        <v>239</v>
      </c>
      <c r="Q76">
        <v>12.6</v>
      </c>
    </row>
    <row r="77" spans="1:17" x14ac:dyDescent="0.25">
      <c r="A77">
        <v>2025</v>
      </c>
      <c r="B77" t="s">
        <v>209</v>
      </c>
      <c r="C77" t="s">
        <v>240</v>
      </c>
      <c r="D77" t="s">
        <v>118</v>
      </c>
      <c r="E77">
        <v>3</v>
      </c>
      <c r="F77">
        <v>6</v>
      </c>
      <c r="G77" t="s">
        <v>142</v>
      </c>
      <c r="H77" t="s">
        <v>73</v>
      </c>
      <c r="I77">
        <v>14.9</v>
      </c>
      <c r="J77">
        <v>10.5</v>
      </c>
      <c r="K77">
        <v>12.9</v>
      </c>
      <c r="L77">
        <v>22</v>
      </c>
      <c r="M77">
        <v>297</v>
      </c>
      <c r="N77">
        <v>4</v>
      </c>
      <c r="O77">
        <v>4</v>
      </c>
      <c r="P77" t="s">
        <v>241</v>
      </c>
      <c r="Q77">
        <v>12.9</v>
      </c>
    </row>
    <row r="78" spans="1:17" x14ac:dyDescent="0.25">
      <c r="A78">
        <v>2025</v>
      </c>
      <c r="B78" t="s">
        <v>209</v>
      </c>
      <c r="C78" t="s">
        <v>242</v>
      </c>
      <c r="D78" t="s">
        <v>118</v>
      </c>
      <c r="E78">
        <v>3</v>
      </c>
      <c r="F78">
        <v>6</v>
      </c>
      <c r="G78" t="s">
        <v>142</v>
      </c>
      <c r="H78" t="s">
        <v>73</v>
      </c>
      <c r="I78">
        <v>14.7</v>
      </c>
      <c r="J78">
        <v>10.199999999999999</v>
      </c>
      <c r="K78">
        <v>12.7</v>
      </c>
      <c r="L78">
        <v>22</v>
      </c>
      <c r="M78">
        <v>293</v>
      </c>
      <c r="N78">
        <v>4</v>
      </c>
      <c r="O78">
        <v>4</v>
      </c>
      <c r="P78" t="s">
        <v>243</v>
      </c>
      <c r="Q78">
        <v>12.7</v>
      </c>
    </row>
    <row r="79" spans="1:17" x14ac:dyDescent="0.25">
      <c r="A79">
        <v>2025</v>
      </c>
      <c r="B79" t="s">
        <v>209</v>
      </c>
      <c r="C79" t="s">
        <v>244</v>
      </c>
      <c r="D79" t="s">
        <v>118</v>
      </c>
      <c r="E79">
        <v>3</v>
      </c>
      <c r="F79">
        <v>6</v>
      </c>
      <c r="G79" t="s">
        <v>142</v>
      </c>
      <c r="H79" t="s">
        <v>73</v>
      </c>
      <c r="I79">
        <v>15</v>
      </c>
      <c r="J79">
        <v>10.3</v>
      </c>
      <c r="K79">
        <v>12.9</v>
      </c>
      <c r="L79">
        <v>22</v>
      </c>
      <c r="M79">
        <v>297</v>
      </c>
      <c r="N79">
        <v>4</v>
      </c>
      <c r="O79">
        <v>4</v>
      </c>
      <c r="P79" t="s">
        <v>245</v>
      </c>
      <c r="Q79">
        <v>12.9</v>
      </c>
    </row>
    <row r="80" spans="1:17" x14ac:dyDescent="0.25">
      <c r="A80">
        <v>2025</v>
      </c>
      <c r="B80" t="s">
        <v>209</v>
      </c>
      <c r="C80" t="s">
        <v>246</v>
      </c>
      <c r="D80" t="s">
        <v>118</v>
      </c>
      <c r="E80">
        <v>3</v>
      </c>
      <c r="F80">
        <v>6</v>
      </c>
      <c r="G80" t="s">
        <v>142</v>
      </c>
      <c r="H80" t="s">
        <v>73</v>
      </c>
      <c r="I80">
        <v>9.1999999999999993</v>
      </c>
      <c r="J80">
        <v>7.3</v>
      </c>
      <c r="K80">
        <v>8.4</v>
      </c>
      <c r="L80">
        <v>34</v>
      </c>
      <c r="M80">
        <v>194</v>
      </c>
      <c r="N80">
        <v>6</v>
      </c>
      <c r="O80">
        <v>6</v>
      </c>
      <c r="P80" t="s">
        <v>247</v>
      </c>
      <c r="Q80">
        <v>8.4</v>
      </c>
    </row>
    <row r="81" spans="1:17" x14ac:dyDescent="0.25">
      <c r="A81">
        <v>2025</v>
      </c>
      <c r="B81" t="s">
        <v>209</v>
      </c>
      <c r="C81" t="s">
        <v>248</v>
      </c>
      <c r="D81" t="s">
        <v>118</v>
      </c>
      <c r="E81">
        <v>3</v>
      </c>
      <c r="F81">
        <v>6</v>
      </c>
      <c r="G81" t="s">
        <v>142</v>
      </c>
      <c r="H81" t="s">
        <v>73</v>
      </c>
      <c r="I81">
        <v>8.9</v>
      </c>
      <c r="J81">
        <v>7.1</v>
      </c>
      <c r="K81">
        <v>8.1</v>
      </c>
      <c r="L81">
        <v>35</v>
      </c>
      <c r="M81">
        <v>187</v>
      </c>
      <c r="N81">
        <v>6</v>
      </c>
      <c r="O81">
        <v>6</v>
      </c>
      <c r="P81" t="s">
        <v>249</v>
      </c>
      <c r="Q81">
        <v>8.1</v>
      </c>
    </row>
    <row r="82" spans="1:17" x14ac:dyDescent="0.25">
      <c r="A82">
        <v>2025</v>
      </c>
      <c r="B82" t="s">
        <v>209</v>
      </c>
      <c r="C82" t="s">
        <v>250</v>
      </c>
      <c r="D82" t="s">
        <v>118</v>
      </c>
      <c r="E82">
        <v>4.4000000000000004</v>
      </c>
      <c r="F82">
        <v>8</v>
      </c>
      <c r="G82" t="s">
        <v>142</v>
      </c>
      <c r="H82" t="s">
        <v>73</v>
      </c>
      <c r="I82">
        <v>16.100000000000001</v>
      </c>
      <c r="J82">
        <v>10.9</v>
      </c>
      <c r="K82">
        <v>13.8</v>
      </c>
      <c r="L82">
        <v>20</v>
      </c>
      <c r="M82">
        <v>321</v>
      </c>
      <c r="N82">
        <v>3</v>
      </c>
      <c r="O82">
        <v>2</v>
      </c>
      <c r="P82" t="s">
        <v>251</v>
      </c>
      <c r="Q82">
        <v>13.8</v>
      </c>
    </row>
    <row r="83" spans="1:17" x14ac:dyDescent="0.25">
      <c r="A83">
        <v>2025</v>
      </c>
      <c r="B83" t="s">
        <v>209</v>
      </c>
      <c r="C83" t="s">
        <v>252</v>
      </c>
      <c r="D83" t="s">
        <v>118</v>
      </c>
      <c r="E83">
        <v>4.4000000000000004</v>
      </c>
      <c r="F83">
        <v>8</v>
      </c>
      <c r="G83" t="s">
        <v>142</v>
      </c>
      <c r="H83" t="s">
        <v>73</v>
      </c>
      <c r="I83">
        <v>16.100000000000001</v>
      </c>
      <c r="J83">
        <v>10.9</v>
      </c>
      <c r="K83">
        <v>13.8</v>
      </c>
      <c r="L83">
        <v>20</v>
      </c>
      <c r="M83">
        <v>321</v>
      </c>
      <c r="N83">
        <v>3</v>
      </c>
      <c r="O83">
        <v>2</v>
      </c>
      <c r="P83" t="s">
        <v>253</v>
      </c>
      <c r="Q83">
        <v>13.8</v>
      </c>
    </row>
    <row r="84" spans="1:17" x14ac:dyDescent="0.25">
      <c r="A84">
        <v>2025</v>
      </c>
      <c r="B84" t="s">
        <v>209</v>
      </c>
      <c r="C84" t="s">
        <v>254</v>
      </c>
      <c r="D84" t="s">
        <v>96</v>
      </c>
      <c r="E84">
        <v>4.4000000000000004</v>
      </c>
      <c r="F84">
        <v>8</v>
      </c>
      <c r="G84" t="s">
        <v>142</v>
      </c>
      <c r="H84" t="s">
        <v>73</v>
      </c>
      <c r="I84">
        <v>16.100000000000001</v>
      </c>
      <c r="J84">
        <v>10.9</v>
      </c>
      <c r="K84">
        <v>13.8</v>
      </c>
      <c r="L84">
        <v>20</v>
      </c>
      <c r="M84">
        <v>321</v>
      </c>
      <c r="N84">
        <v>3</v>
      </c>
      <c r="O84">
        <v>2</v>
      </c>
      <c r="P84" t="s">
        <v>255</v>
      </c>
      <c r="Q84">
        <v>13.8</v>
      </c>
    </row>
    <row r="85" spans="1:17" x14ac:dyDescent="0.25">
      <c r="A85">
        <v>2025</v>
      </c>
      <c r="B85" t="s">
        <v>209</v>
      </c>
      <c r="C85" t="s">
        <v>256</v>
      </c>
      <c r="D85" t="s">
        <v>118</v>
      </c>
      <c r="E85">
        <v>4.4000000000000004</v>
      </c>
      <c r="F85">
        <v>8</v>
      </c>
      <c r="G85" t="s">
        <v>142</v>
      </c>
      <c r="H85" t="s">
        <v>73</v>
      </c>
      <c r="I85">
        <v>14.2</v>
      </c>
      <c r="J85">
        <v>9.9</v>
      </c>
      <c r="K85">
        <v>12.2</v>
      </c>
      <c r="L85">
        <v>23</v>
      </c>
      <c r="M85">
        <v>285</v>
      </c>
      <c r="N85">
        <v>4</v>
      </c>
      <c r="O85">
        <v>2</v>
      </c>
      <c r="P85" t="s">
        <v>257</v>
      </c>
      <c r="Q85">
        <v>12.2</v>
      </c>
    </row>
    <row r="86" spans="1:17" x14ac:dyDescent="0.25">
      <c r="A86">
        <v>2025</v>
      </c>
      <c r="B86" t="s">
        <v>209</v>
      </c>
      <c r="C86" t="s">
        <v>258</v>
      </c>
      <c r="D86" t="s">
        <v>118</v>
      </c>
      <c r="E86">
        <v>4.4000000000000004</v>
      </c>
      <c r="F86">
        <v>8</v>
      </c>
      <c r="G86" t="s">
        <v>142</v>
      </c>
      <c r="H86" t="s">
        <v>73</v>
      </c>
      <c r="I86">
        <v>14.1</v>
      </c>
      <c r="J86">
        <v>9.9</v>
      </c>
      <c r="K86">
        <v>12.2</v>
      </c>
      <c r="L86">
        <v>23</v>
      </c>
      <c r="M86">
        <v>284</v>
      </c>
      <c r="N86">
        <v>4</v>
      </c>
      <c r="O86">
        <v>2</v>
      </c>
      <c r="P86" t="s">
        <v>259</v>
      </c>
      <c r="Q86">
        <v>12.2</v>
      </c>
    </row>
    <row r="87" spans="1:17" x14ac:dyDescent="0.25">
      <c r="A87">
        <v>2025</v>
      </c>
      <c r="B87" t="s">
        <v>209</v>
      </c>
      <c r="C87" t="s">
        <v>260</v>
      </c>
      <c r="D87" t="s">
        <v>96</v>
      </c>
      <c r="E87">
        <v>4.4000000000000004</v>
      </c>
      <c r="F87">
        <v>8</v>
      </c>
      <c r="G87" t="s">
        <v>142</v>
      </c>
      <c r="H87" t="s">
        <v>73</v>
      </c>
      <c r="I87">
        <v>14.2</v>
      </c>
      <c r="J87">
        <v>9.9</v>
      </c>
      <c r="K87">
        <v>12.2</v>
      </c>
      <c r="L87">
        <v>23</v>
      </c>
      <c r="M87">
        <v>285</v>
      </c>
      <c r="N87">
        <v>4</v>
      </c>
      <c r="O87">
        <v>2</v>
      </c>
      <c r="P87" t="s">
        <v>261</v>
      </c>
      <c r="Q87">
        <v>12.2</v>
      </c>
    </row>
    <row r="88" spans="1:17" x14ac:dyDescent="0.25">
      <c r="A88">
        <v>2025</v>
      </c>
      <c r="B88" t="s">
        <v>209</v>
      </c>
      <c r="C88" t="s">
        <v>262</v>
      </c>
      <c r="D88" t="s">
        <v>79</v>
      </c>
      <c r="E88">
        <v>2</v>
      </c>
      <c r="F88">
        <v>4</v>
      </c>
      <c r="G88" t="s">
        <v>119</v>
      </c>
      <c r="H88" t="s">
        <v>73</v>
      </c>
      <c r="I88">
        <v>9.6999999999999993</v>
      </c>
      <c r="J88">
        <v>7.1</v>
      </c>
      <c r="K88">
        <v>8.5</v>
      </c>
      <c r="L88">
        <v>33</v>
      </c>
      <c r="M88">
        <v>198</v>
      </c>
      <c r="N88">
        <v>6</v>
      </c>
      <c r="O88">
        <v>7</v>
      </c>
      <c r="P88" t="s">
        <v>263</v>
      </c>
      <c r="Q88">
        <v>8.5</v>
      </c>
    </row>
    <row r="89" spans="1:17" x14ac:dyDescent="0.25">
      <c r="A89">
        <v>2025</v>
      </c>
      <c r="B89" t="s">
        <v>209</v>
      </c>
      <c r="C89" t="s">
        <v>264</v>
      </c>
      <c r="D89" t="s">
        <v>79</v>
      </c>
      <c r="E89">
        <v>2</v>
      </c>
      <c r="F89">
        <v>4</v>
      </c>
      <c r="G89" t="s">
        <v>119</v>
      </c>
      <c r="H89" t="s">
        <v>73</v>
      </c>
      <c r="I89">
        <v>10.1</v>
      </c>
      <c r="J89">
        <v>7.6</v>
      </c>
      <c r="K89">
        <v>9</v>
      </c>
      <c r="L89">
        <v>31</v>
      </c>
      <c r="M89">
        <v>208</v>
      </c>
      <c r="N89">
        <v>5</v>
      </c>
      <c r="O89">
        <v>5</v>
      </c>
      <c r="P89" t="s">
        <v>265</v>
      </c>
      <c r="Q89">
        <v>9</v>
      </c>
    </row>
    <row r="90" spans="1:17" x14ac:dyDescent="0.25">
      <c r="A90">
        <v>2025</v>
      </c>
      <c r="B90" t="s">
        <v>209</v>
      </c>
      <c r="C90" t="s">
        <v>266</v>
      </c>
      <c r="D90" t="s">
        <v>79</v>
      </c>
      <c r="E90">
        <v>2</v>
      </c>
      <c r="F90">
        <v>4</v>
      </c>
      <c r="G90" t="s">
        <v>119</v>
      </c>
      <c r="H90" t="s">
        <v>73</v>
      </c>
      <c r="I90">
        <v>9.6999999999999993</v>
      </c>
      <c r="J90">
        <v>7.1</v>
      </c>
      <c r="K90">
        <v>8.5</v>
      </c>
      <c r="L90">
        <v>33</v>
      </c>
      <c r="M90">
        <v>198</v>
      </c>
      <c r="N90">
        <v>6</v>
      </c>
      <c r="O90">
        <v>7</v>
      </c>
      <c r="P90" t="s">
        <v>267</v>
      </c>
      <c r="Q90">
        <v>8.5</v>
      </c>
    </row>
    <row r="91" spans="1:17" x14ac:dyDescent="0.25">
      <c r="A91">
        <v>2025</v>
      </c>
      <c r="B91" t="s">
        <v>209</v>
      </c>
      <c r="C91" t="s">
        <v>268</v>
      </c>
      <c r="D91" t="s">
        <v>79</v>
      </c>
      <c r="E91">
        <v>2</v>
      </c>
      <c r="F91">
        <v>4</v>
      </c>
      <c r="G91" t="s">
        <v>119</v>
      </c>
      <c r="H91" t="s">
        <v>73</v>
      </c>
      <c r="I91">
        <v>10.3</v>
      </c>
      <c r="J91">
        <v>7.3</v>
      </c>
      <c r="K91">
        <v>8.9</v>
      </c>
      <c r="L91">
        <v>32</v>
      </c>
      <c r="M91">
        <v>206</v>
      </c>
      <c r="N91">
        <v>5</v>
      </c>
      <c r="O91">
        <v>5</v>
      </c>
      <c r="P91" t="s">
        <v>269</v>
      </c>
      <c r="Q91">
        <v>8.9</v>
      </c>
    </row>
    <row r="92" spans="1:17" x14ac:dyDescent="0.25">
      <c r="A92">
        <v>2025</v>
      </c>
      <c r="B92" t="s">
        <v>209</v>
      </c>
      <c r="C92" t="s">
        <v>270</v>
      </c>
      <c r="D92" t="s">
        <v>79</v>
      </c>
      <c r="E92">
        <v>2</v>
      </c>
      <c r="F92">
        <v>4</v>
      </c>
      <c r="G92" t="s">
        <v>142</v>
      </c>
      <c r="H92" t="s">
        <v>73</v>
      </c>
      <c r="I92">
        <v>8.8000000000000007</v>
      </c>
      <c r="J92">
        <v>7.1</v>
      </c>
      <c r="K92">
        <v>8.1</v>
      </c>
      <c r="L92">
        <v>35</v>
      </c>
      <c r="M92">
        <v>186</v>
      </c>
      <c r="N92">
        <v>6</v>
      </c>
      <c r="O92">
        <v>7</v>
      </c>
      <c r="P92" t="s">
        <v>271</v>
      </c>
      <c r="Q92">
        <v>8.1</v>
      </c>
    </row>
    <row r="93" spans="1:17" x14ac:dyDescent="0.25">
      <c r="A93">
        <v>2025</v>
      </c>
      <c r="B93" t="s">
        <v>209</v>
      </c>
      <c r="C93" t="s">
        <v>272</v>
      </c>
      <c r="D93" t="s">
        <v>79</v>
      </c>
      <c r="E93">
        <v>3</v>
      </c>
      <c r="F93">
        <v>6</v>
      </c>
      <c r="G93" t="s">
        <v>142</v>
      </c>
      <c r="H93" t="s">
        <v>73</v>
      </c>
      <c r="I93">
        <v>9.3000000000000007</v>
      </c>
      <c r="J93">
        <v>7.7</v>
      </c>
      <c r="K93">
        <v>8.6</v>
      </c>
      <c r="L93">
        <v>33</v>
      </c>
      <c r="M93">
        <v>199</v>
      </c>
      <c r="N93">
        <v>6</v>
      </c>
      <c r="O93">
        <v>6</v>
      </c>
      <c r="P93" t="s">
        <v>273</v>
      </c>
      <c r="Q93">
        <v>8.6</v>
      </c>
    </row>
    <row r="94" spans="1:17" x14ac:dyDescent="0.25">
      <c r="A94">
        <v>2025</v>
      </c>
      <c r="B94" t="s">
        <v>209</v>
      </c>
      <c r="C94" t="s">
        <v>274</v>
      </c>
      <c r="D94" t="s">
        <v>79</v>
      </c>
      <c r="E94">
        <v>2</v>
      </c>
      <c r="F94">
        <v>4</v>
      </c>
      <c r="G94" t="s">
        <v>142</v>
      </c>
      <c r="H94" t="s">
        <v>73</v>
      </c>
      <c r="I94">
        <v>11.1</v>
      </c>
      <c r="J94">
        <v>8.6</v>
      </c>
      <c r="K94">
        <v>9.9</v>
      </c>
      <c r="L94">
        <v>29</v>
      </c>
      <c r="M94">
        <v>231</v>
      </c>
      <c r="N94">
        <v>5</v>
      </c>
      <c r="O94">
        <v>6</v>
      </c>
      <c r="P94" t="s">
        <v>275</v>
      </c>
      <c r="Q94">
        <v>9.9</v>
      </c>
    </row>
    <row r="95" spans="1:17" x14ac:dyDescent="0.25">
      <c r="A95">
        <v>2025</v>
      </c>
      <c r="B95" t="s">
        <v>209</v>
      </c>
      <c r="C95" t="s">
        <v>276</v>
      </c>
      <c r="D95" t="s">
        <v>79</v>
      </c>
      <c r="E95">
        <v>3</v>
      </c>
      <c r="F95">
        <v>6</v>
      </c>
      <c r="G95" t="s">
        <v>142</v>
      </c>
      <c r="H95" t="s">
        <v>73</v>
      </c>
      <c r="I95">
        <v>15.7</v>
      </c>
      <c r="J95">
        <v>11.7</v>
      </c>
      <c r="K95">
        <v>13.9</v>
      </c>
      <c r="L95">
        <v>20</v>
      </c>
      <c r="M95">
        <v>323</v>
      </c>
      <c r="N95">
        <v>3</v>
      </c>
      <c r="O95">
        <v>2</v>
      </c>
      <c r="P95" t="s">
        <v>277</v>
      </c>
      <c r="Q95">
        <v>13.9</v>
      </c>
    </row>
    <row r="96" spans="1:17" x14ac:dyDescent="0.25">
      <c r="A96">
        <v>2025</v>
      </c>
      <c r="B96" t="s">
        <v>209</v>
      </c>
      <c r="C96" t="s">
        <v>278</v>
      </c>
      <c r="D96" t="s">
        <v>79</v>
      </c>
      <c r="E96">
        <v>3</v>
      </c>
      <c r="F96">
        <v>6</v>
      </c>
      <c r="G96" t="s">
        <v>142</v>
      </c>
      <c r="H96" t="s">
        <v>73</v>
      </c>
      <c r="I96">
        <v>15.7</v>
      </c>
      <c r="J96">
        <v>11.7</v>
      </c>
      <c r="K96">
        <v>13.9</v>
      </c>
      <c r="L96">
        <v>20</v>
      </c>
      <c r="M96">
        <v>323</v>
      </c>
      <c r="N96">
        <v>3</v>
      </c>
      <c r="O96">
        <v>2</v>
      </c>
      <c r="P96" t="s">
        <v>279</v>
      </c>
      <c r="Q96">
        <v>13.9</v>
      </c>
    </row>
    <row r="97" spans="1:17" x14ac:dyDescent="0.25">
      <c r="A97">
        <v>2025</v>
      </c>
      <c r="B97" t="s">
        <v>209</v>
      </c>
      <c r="C97" t="s">
        <v>280</v>
      </c>
      <c r="D97" t="s">
        <v>79</v>
      </c>
      <c r="E97">
        <v>3</v>
      </c>
      <c r="F97">
        <v>6</v>
      </c>
      <c r="G97" t="s">
        <v>142</v>
      </c>
      <c r="H97" t="s">
        <v>73</v>
      </c>
      <c r="I97">
        <v>10.9</v>
      </c>
      <c r="J97">
        <v>9</v>
      </c>
      <c r="K97">
        <v>10</v>
      </c>
      <c r="L97">
        <v>28</v>
      </c>
      <c r="M97">
        <v>234</v>
      </c>
      <c r="N97">
        <v>5</v>
      </c>
      <c r="O97">
        <v>4</v>
      </c>
      <c r="P97" t="s">
        <v>281</v>
      </c>
      <c r="Q97">
        <v>10</v>
      </c>
    </row>
    <row r="98" spans="1:17" x14ac:dyDescent="0.25">
      <c r="A98">
        <v>2025</v>
      </c>
      <c r="B98" t="s">
        <v>209</v>
      </c>
      <c r="C98" t="s">
        <v>282</v>
      </c>
      <c r="D98" t="s">
        <v>83</v>
      </c>
      <c r="E98">
        <v>3</v>
      </c>
      <c r="F98">
        <v>6</v>
      </c>
      <c r="G98" t="s">
        <v>142</v>
      </c>
      <c r="H98" t="s">
        <v>73</v>
      </c>
      <c r="I98">
        <v>10.1</v>
      </c>
      <c r="J98">
        <v>8.6999999999999993</v>
      </c>
      <c r="K98">
        <v>9.4</v>
      </c>
      <c r="L98">
        <v>30</v>
      </c>
      <c r="M98">
        <v>218</v>
      </c>
      <c r="N98">
        <v>5</v>
      </c>
      <c r="O98">
        <v>6</v>
      </c>
      <c r="P98" t="s">
        <v>283</v>
      </c>
      <c r="Q98">
        <v>9.4</v>
      </c>
    </row>
    <row r="99" spans="1:17" x14ac:dyDescent="0.25">
      <c r="A99">
        <v>2025</v>
      </c>
      <c r="B99" t="s">
        <v>209</v>
      </c>
      <c r="C99" t="s">
        <v>284</v>
      </c>
      <c r="D99" t="s">
        <v>83</v>
      </c>
      <c r="E99">
        <v>4.4000000000000004</v>
      </c>
      <c r="F99">
        <v>8</v>
      </c>
      <c r="G99" t="s">
        <v>142</v>
      </c>
      <c r="H99" t="s">
        <v>73</v>
      </c>
      <c r="I99">
        <v>18.2</v>
      </c>
      <c r="J99">
        <v>12.9</v>
      </c>
      <c r="K99">
        <v>15.8</v>
      </c>
      <c r="L99">
        <v>18</v>
      </c>
      <c r="M99">
        <v>366</v>
      </c>
      <c r="N99">
        <v>2</v>
      </c>
      <c r="O99">
        <v>4</v>
      </c>
      <c r="P99" t="s">
        <v>285</v>
      </c>
      <c r="Q99">
        <v>15.8</v>
      </c>
    </row>
    <row r="100" spans="1:17" x14ac:dyDescent="0.25">
      <c r="A100">
        <v>2025</v>
      </c>
      <c r="B100" t="s">
        <v>209</v>
      </c>
      <c r="C100" t="s">
        <v>286</v>
      </c>
      <c r="D100" t="s">
        <v>83</v>
      </c>
      <c r="E100">
        <v>4.4000000000000004</v>
      </c>
      <c r="F100">
        <v>8</v>
      </c>
      <c r="G100" t="s">
        <v>142</v>
      </c>
      <c r="H100" t="s">
        <v>73</v>
      </c>
      <c r="I100">
        <v>13.8</v>
      </c>
      <c r="J100">
        <v>10.5</v>
      </c>
      <c r="K100">
        <v>12.3</v>
      </c>
      <c r="L100">
        <v>23</v>
      </c>
      <c r="M100">
        <v>285</v>
      </c>
      <c r="N100">
        <v>4</v>
      </c>
      <c r="O100">
        <v>4</v>
      </c>
      <c r="P100" t="s">
        <v>287</v>
      </c>
      <c r="Q100">
        <v>12.3</v>
      </c>
    </row>
    <row r="101" spans="1:17" x14ac:dyDescent="0.25">
      <c r="A101">
        <v>2025</v>
      </c>
      <c r="B101" t="s">
        <v>209</v>
      </c>
      <c r="C101" t="s">
        <v>288</v>
      </c>
      <c r="D101" t="s">
        <v>83</v>
      </c>
      <c r="E101">
        <v>3</v>
      </c>
      <c r="F101">
        <v>6</v>
      </c>
      <c r="G101" t="s">
        <v>142</v>
      </c>
      <c r="H101" t="s">
        <v>73</v>
      </c>
      <c r="I101">
        <v>10.3</v>
      </c>
      <c r="J101">
        <v>8.9</v>
      </c>
      <c r="K101">
        <v>9.6</v>
      </c>
      <c r="L101">
        <v>29</v>
      </c>
      <c r="M101">
        <v>223</v>
      </c>
      <c r="N101">
        <v>5</v>
      </c>
      <c r="O101">
        <v>6</v>
      </c>
      <c r="P101" t="s">
        <v>289</v>
      </c>
      <c r="Q101">
        <v>9.6</v>
      </c>
    </row>
    <row r="102" spans="1:17" x14ac:dyDescent="0.25">
      <c r="A102">
        <v>2025</v>
      </c>
      <c r="B102" t="s">
        <v>209</v>
      </c>
      <c r="C102" t="s">
        <v>290</v>
      </c>
      <c r="D102" t="s">
        <v>83</v>
      </c>
      <c r="E102">
        <v>4.4000000000000004</v>
      </c>
      <c r="F102">
        <v>8</v>
      </c>
      <c r="G102" t="s">
        <v>142</v>
      </c>
      <c r="H102" t="s">
        <v>73</v>
      </c>
      <c r="I102">
        <v>18.2</v>
      </c>
      <c r="J102">
        <v>12.9</v>
      </c>
      <c r="K102">
        <v>15.8</v>
      </c>
      <c r="L102">
        <v>18</v>
      </c>
      <c r="M102">
        <v>366</v>
      </c>
      <c r="N102">
        <v>2</v>
      </c>
      <c r="O102">
        <v>4</v>
      </c>
      <c r="P102" t="s">
        <v>291</v>
      </c>
      <c r="Q102">
        <v>15.8</v>
      </c>
    </row>
    <row r="103" spans="1:17" x14ac:dyDescent="0.25">
      <c r="A103">
        <v>2025</v>
      </c>
      <c r="B103" t="s">
        <v>209</v>
      </c>
      <c r="C103" t="s">
        <v>292</v>
      </c>
      <c r="D103" t="s">
        <v>83</v>
      </c>
      <c r="E103">
        <v>4.4000000000000004</v>
      </c>
      <c r="F103">
        <v>8</v>
      </c>
      <c r="G103" t="s">
        <v>142</v>
      </c>
      <c r="H103" t="s">
        <v>73</v>
      </c>
      <c r="I103">
        <v>13.8</v>
      </c>
      <c r="J103">
        <v>10.5</v>
      </c>
      <c r="K103">
        <v>12.3</v>
      </c>
      <c r="L103">
        <v>23</v>
      </c>
      <c r="M103">
        <v>285</v>
      </c>
      <c r="N103">
        <v>4</v>
      </c>
      <c r="O103">
        <v>4</v>
      </c>
      <c r="P103" t="s">
        <v>293</v>
      </c>
      <c r="Q103">
        <v>12.3</v>
      </c>
    </row>
    <row r="104" spans="1:17" x14ac:dyDescent="0.25">
      <c r="A104">
        <v>2025</v>
      </c>
      <c r="B104" t="s">
        <v>209</v>
      </c>
      <c r="C104" t="s">
        <v>294</v>
      </c>
      <c r="D104" t="s">
        <v>83</v>
      </c>
      <c r="E104">
        <v>3</v>
      </c>
      <c r="F104">
        <v>6</v>
      </c>
      <c r="G104" t="s">
        <v>142</v>
      </c>
      <c r="H104" t="s">
        <v>73</v>
      </c>
      <c r="I104">
        <v>11.6</v>
      </c>
      <c r="J104">
        <v>9.6</v>
      </c>
      <c r="K104">
        <v>10.7</v>
      </c>
      <c r="L104">
        <v>26</v>
      </c>
      <c r="M104">
        <v>247</v>
      </c>
      <c r="N104">
        <v>5</v>
      </c>
      <c r="O104">
        <v>6</v>
      </c>
      <c r="P104" t="s">
        <v>295</v>
      </c>
      <c r="Q104">
        <v>10.7</v>
      </c>
    </row>
    <row r="105" spans="1:17" x14ac:dyDescent="0.25">
      <c r="A105">
        <v>2025</v>
      </c>
      <c r="B105" t="s">
        <v>209</v>
      </c>
      <c r="C105" t="s">
        <v>296</v>
      </c>
      <c r="D105" t="s">
        <v>83</v>
      </c>
      <c r="E105">
        <v>4.4000000000000004</v>
      </c>
      <c r="F105">
        <v>8</v>
      </c>
      <c r="G105" t="s">
        <v>142</v>
      </c>
      <c r="H105" t="s">
        <v>73</v>
      </c>
      <c r="I105">
        <v>14.7</v>
      </c>
      <c r="J105">
        <v>11.6</v>
      </c>
      <c r="K105">
        <v>13.3</v>
      </c>
      <c r="L105">
        <v>21</v>
      </c>
      <c r="M105">
        <v>310</v>
      </c>
      <c r="N105">
        <v>4</v>
      </c>
      <c r="O105">
        <v>4</v>
      </c>
      <c r="P105" t="s">
        <v>297</v>
      </c>
      <c r="Q105">
        <v>13.3</v>
      </c>
    </row>
    <row r="106" spans="1:17" x14ac:dyDescent="0.25">
      <c r="A106">
        <v>2025</v>
      </c>
      <c r="B106" t="s">
        <v>209</v>
      </c>
      <c r="C106" t="s">
        <v>298</v>
      </c>
      <c r="D106" t="s">
        <v>114</v>
      </c>
      <c r="E106">
        <v>2</v>
      </c>
      <c r="F106">
        <v>4</v>
      </c>
      <c r="G106" t="s">
        <v>142</v>
      </c>
      <c r="H106" t="s">
        <v>73</v>
      </c>
      <c r="I106">
        <v>9.4</v>
      </c>
      <c r="J106">
        <v>7.1</v>
      </c>
      <c r="K106">
        <v>8.4</v>
      </c>
      <c r="L106">
        <v>34</v>
      </c>
      <c r="M106">
        <v>194</v>
      </c>
      <c r="N106">
        <v>6</v>
      </c>
      <c r="O106">
        <v>6</v>
      </c>
      <c r="P106" t="s">
        <v>299</v>
      </c>
      <c r="Q106">
        <v>8.4</v>
      </c>
    </row>
    <row r="107" spans="1:17" x14ac:dyDescent="0.25">
      <c r="A107">
        <v>2025</v>
      </c>
      <c r="B107" t="s">
        <v>209</v>
      </c>
      <c r="C107" t="s">
        <v>300</v>
      </c>
      <c r="D107" t="s">
        <v>114</v>
      </c>
      <c r="E107">
        <v>3</v>
      </c>
      <c r="F107">
        <v>6</v>
      </c>
      <c r="G107" t="s">
        <v>142</v>
      </c>
      <c r="H107" t="s">
        <v>73</v>
      </c>
      <c r="I107">
        <v>10.4</v>
      </c>
      <c r="J107">
        <v>8</v>
      </c>
      <c r="K107">
        <v>9.3000000000000007</v>
      </c>
      <c r="L107">
        <v>30</v>
      </c>
      <c r="M107">
        <v>215</v>
      </c>
      <c r="N107">
        <v>5</v>
      </c>
      <c r="O107">
        <v>4</v>
      </c>
      <c r="P107" t="s">
        <v>301</v>
      </c>
      <c r="Q107">
        <v>9.3000000000000007</v>
      </c>
    </row>
    <row r="108" spans="1:17" x14ac:dyDescent="0.25">
      <c r="A108">
        <v>2025</v>
      </c>
      <c r="B108" t="s">
        <v>209</v>
      </c>
      <c r="C108" t="s">
        <v>300</v>
      </c>
      <c r="D108" t="s">
        <v>114</v>
      </c>
      <c r="E108">
        <v>3</v>
      </c>
      <c r="F108">
        <v>6</v>
      </c>
      <c r="G108" t="s">
        <v>75</v>
      </c>
      <c r="H108" t="s">
        <v>73</v>
      </c>
      <c r="I108">
        <v>12.6</v>
      </c>
      <c r="J108">
        <v>8.9</v>
      </c>
      <c r="K108">
        <v>10.9</v>
      </c>
      <c r="L108">
        <v>26</v>
      </c>
      <c r="M108">
        <v>253</v>
      </c>
      <c r="N108">
        <v>5</v>
      </c>
      <c r="O108">
        <v>4</v>
      </c>
      <c r="P108" t="s">
        <v>301</v>
      </c>
      <c r="Q108">
        <v>10.9</v>
      </c>
    </row>
    <row r="109" spans="1:17" x14ac:dyDescent="0.25">
      <c r="A109">
        <v>2025</v>
      </c>
      <c r="B109" t="s">
        <v>302</v>
      </c>
      <c r="C109" t="s">
        <v>303</v>
      </c>
      <c r="D109" t="s">
        <v>114</v>
      </c>
      <c r="E109">
        <v>8</v>
      </c>
      <c r="F109">
        <v>16</v>
      </c>
      <c r="G109" t="s">
        <v>119</v>
      </c>
      <c r="H109" t="s">
        <v>73</v>
      </c>
      <c r="I109">
        <v>29.7</v>
      </c>
      <c r="J109">
        <v>19.2</v>
      </c>
      <c r="K109">
        <v>25</v>
      </c>
      <c r="L109">
        <v>11</v>
      </c>
      <c r="M109">
        <v>586</v>
      </c>
      <c r="N109">
        <v>1</v>
      </c>
      <c r="O109">
        <v>1</v>
      </c>
      <c r="P109" t="s">
        <v>304</v>
      </c>
      <c r="Q109">
        <v>25</v>
      </c>
    </row>
    <row r="110" spans="1:17" x14ac:dyDescent="0.25">
      <c r="A110">
        <v>2025</v>
      </c>
      <c r="B110" t="s">
        <v>305</v>
      </c>
      <c r="C110" t="s">
        <v>306</v>
      </c>
      <c r="D110" t="s">
        <v>83</v>
      </c>
      <c r="E110">
        <v>2.5</v>
      </c>
      <c r="F110">
        <v>4</v>
      </c>
      <c r="G110" t="s">
        <v>97</v>
      </c>
      <c r="H110" t="s">
        <v>105</v>
      </c>
      <c r="I110">
        <v>12.3</v>
      </c>
      <c r="J110">
        <v>9.9</v>
      </c>
      <c r="K110">
        <v>11.2</v>
      </c>
      <c r="L110">
        <v>25</v>
      </c>
      <c r="M110">
        <v>262</v>
      </c>
      <c r="N110">
        <v>4</v>
      </c>
      <c r="O110">
        <v>5</v>
      </c>
      <c r="P110" t="s">
        <v>307</v>
      </c>
      <c r="Q110">
        <v>11.2</v>
      </c>
    </row>
    <row r="111" spans="1:17" x14ac:dyDescent="0.25">
      <c r="A111">
        <v>2025</v>
      </c>
      <c r="B111" t="s">
        <v>305</v>
      </c>
      <c r="C111" t="s">
        <v>308</v>
      </c>
      <c r="D111" t="s">
        <v>79</v>
      </c>
      <c r="E111">
        <v>1.3</v>
      </c>
      <c r="F111">
        <v>3</v>
      </c>
      <c r="G111" t="s">
        <v>309</v>
      </c>
      <c r="H111" t="s">
        <v>105</v>
      </c>
      <c r="I111">
        <v>8</v>
      </c>
      <c r="J111">
        <v>7.6</v>
      </c>
      <c r="K111">
        <v>7.8</v>
      </c>
      <c r="L111">
        <v>36</v>
      </c>
      <c r="M111">
        <v>183</v>
      </c>
      <c r="N111">
        <v>6</v>
      </c>
      <c r="O111">
        <v>6</v>
      </c>
      <c r="P111" t="s">
        <v>310</v>
      </c>
      <c r="Q111">
        <v>7.8</v>
      </c>
    </row>
    <row r="112" spans="1:17" x14ac:dyDescent="0.25">
      <c r="A112">
        <v>2025</v>
      </c>
      <c r="B112" t="s">
        <v>305</v>
      </c>
      <c r="C112" t="s">
        <v>311</v>
      </c>
      <c r="D112" t="s">
        <v>79</v>
      </c>
      <c r="E112">
        <v>1.3</v>
      </c>
      <c r="F112">
        <v>3</v>
      </c>
      <c r="G112" t="s">
        <v>104</v>
      </c>
      <c r="H112" t="s">
        <v>105</v>
      </c>
      <c r="I112">
        <v>9.1</v>
      </c>
      <c r="J112">
        <v>8.4</v>
      </c>
      <c r="K112">
        <v>8.8000000000000007</v>
      </c>
      <c r="L112">
        <v>32</v>
      </c>
      <c r="M112">
        <v>207</v>
      </c>
      <c r="N112">
        <v>5</v>
      </c>
      <c r="O112">
        <v>6</v>
      </c>
      <c r="P112" t="s">
        <v>312</v>
      </c>
      <c r="Q112">
        <v>8.8000000000000007</v>
      </c>
    </row>
    <row r="113" spans="1:17" x14ac:dyDescent="0.25">
      <c r="A113">
        <v>2025</v>
      </c>
      <c r="B113" t="s">
        <v>305</v>
      </c>
      <c r="C113" t="s">
        <v>313</v>
      </c>
      <c r="D113" t="s">
        <v>79</v>
      </c>
      <c r="E113">
        <v>2</v>
      </c>
      <c r="F113">
        <v>4</v>
      </c>
      <c r="G113" t="s">
        <v>314</v>
      </c>
      <c r="H113" t="s">
        <v>105</v>
      </c>
      <c r="I113">
        <v>10.8</v>
      </c>
      <c r="J113">
        <v>8.3000000000000007</v>
      </c>
      <c r="K113">
        <v>9.6999999999999993</v>
      </c>
      <c r="L113">
        <v>29</v>
      </c>
      <c r="M113">
        <v>229</v>
      </c>
      <c r="N113">
        <v>5</v>
      </c>
      <c r="O113">
        <v>6</v>
      </c>
      <c r="P113" t="s">
        <v>315</v>
      </c>
      <c r="Q113">
        <v>9.6999999999999993</v>
      </c>
    </row>
    <row r="114" spans="1:17" x14ac:dyDescent="0.25">
      <c r="A114">
        <v>2025</v>
      </c>
      <c r="B114" t="s">
        <v>305</v>
      </c>
      <c r="C114" t="s">
        <v>316</v>
      </c>
      <c r="D114" t="s">
        <v>124</v>
      </c>
      <c r="E114">
        <v>1.2</v>
      </c>
      <c r="F114">
        <v>3</v>
      </c>
      <c r="G114" t="s">
        <v>317</v>
      </c>
      <c r="H114" t="s">
        <v>105</v>
      </c>
      <c r="I114">
        <v>8.4</v>
      </c>
      <c r="J114">
        <v>7.4</v>
      </c>
      <c r="K114">
        <v>7.9</v>
      </c>
      <c r="L114">
        <v>36</v>
      </c>
      <c r="M114">
        <v>185</v>
      </c>
      <c r="N114">
        <v>6</v>
      </c>
      <c r="O114">
        <v>6</v>
      </c>
      <c r="P114" t="s">
        <v>318</v>
      </c>
      <c r="Q114">
        <v>7.9</v>
      </c>
    </row>
    <row r="115" spans="1:17" x14ac:dyDescent="0.25">
      <c r="A115">
        <v>2025</v>
      </c>
      <c r="B115" t="s">
        <v>319</v>
      </c>
      <c r="C115" t="s">
        <v>320</v>
      </c>
      <c r="D115" t="s">
        <v>90</v>
      </c>
      <c r="E115">
        <v>2</v>
      </c>
      <c r="F115">
        <v>4</v>
      </c>
      <c r="G115" t="s">
        <v>142</v>
      </c>
      <c r="H115" t="s">
        <v>73</v>
      </c>
      <c r="I115">
        <v>10.6</v>
      </c>
      <c r="J115">
        <v>7.3</v>
      </c>
      <c r="K115">
        <v>9.1</v>
      </c>
      <c r="L115">
        <v>31</v>
      </c>
      <c r="M115">
        <v>214</v>
      </c>
      <c r="N115">
        <v>5</v>
      </c>
      <c r="O115">
        <v>6</v>
      </c>
      <c r="P115" t="s">
        <v>321</v>
      </c>
      <c r="Q115">
        <v>9.1</v>
      </c>
    </row>
    <row r="116" spans="1:17" x14ac:dyDescent="0.25">
      <c r="A116">
        <v>2025</v>
      </c>
      <c r="B116" t="s">
        <v>319</v>
      </c>
      <c r="C116" t="s">
        <v>320</v>
      </c>
      <c r="D116" t="s">
        <v>90</v>
      </c>
      <c r="E116">
        <v>2.7</v>
      </c>
      <c r="F116">
        <v>4</v>
      </c>
      <c r="G116" t="s">
        <v>80</v>
      </c>
      <c r="H116" t="s">
        <v>73</v>
      </c>
      <c r="I116">
        <v>11</v>
      </c>
      <c r="J116">
        <v>7.6</v>
      </c>
      <c r="K116">
        <v>9.5</v>
      </c>
      <c r="L116">
        <v>30</v>
      </c>
      <c r="M116">
        <v>221</v>
      </c>
      <c r="N116">
        <v>5</v>
      </c>
      <c r="O116">
        <v>5</v>
      </c>
      <c r="P116" t="s">
        <v>321</v>
      </c>
      <c r="Q116">
        <v>9.5</v>
      </c>
    </row>
    <row r="117" spans="1:17" x14ac:dyDescent="0.25">
      <c r="A117">
        <v>2025</v>
      </c>
      <c r="B117" t="s">
        <v>319</v>
      </c>
      <c r="C117" t="s">
        <v>322</v>
      </c>
      <c r="D117" t="s">
        <v>90</v>
      </c>
      <c r="E117">
        <v>2</v>
      </c>
      <c r="F117">
        <v>4</v>
      </c>
      <c r="G117" t="s">
        <v>142</v>
      </c>
      <c r="H117" t="s">
        <v>73</v>
      </c>
      <c r="I117">
        <v>11</v>
      </c>
      <c r="J117">
        <v>7.6</v>
      </c>
      <c r="K117">
        <v>9.5</v>
      </c>
      <c r="L117">
        <v>30</v>
      </c>
      <c r="M117">
        <v>223</v>
      </c>
      <c r="N117">
        <v>5</v>
      </c>
      <c r="O117">
        <v>6</v>
      </c>
      <c r="P117" t="s">
        <v>323</v>
      </c>
      <c r="Q117">
        <v>9.5</v>
      </c>
    </row>
    <row r="118" spans="1:17" x14ac:dyDescent="0.25">
      <c r="A118">
        <v>2025</v>
      </c>
      <c r="B118" t="s">
        <v>319</v>
      </c>
      <c r="C118" t="s">
        <v>322</v>
      </c>
      <c r="D118" t="s">
        <v>90</v>
      </c>
      <c r="E118">
        <v>2.7</v>
      </c>
      <c r="F118">
        <v>4</v>
      </c>
      <c r="G118" t="s">
        <v>80</v>
      </c>
      <c r="H118" t="s">
        <v>73</v>
      </c>
      <c r="I118">
        <v>11.3</v>
      </c>
      <c r="J118">
        <v>8.1</v>
      </c>
      <c r="K118">
        <v>9.9</v>
      </c>
      <c r="L118">
        <v>29</v>
      </c>
      <c r="M118">
        <v>231</v>
      </c>
      <c r="N118">
        <v>5</v>
      </c>
      <c r="O118">
        <v>5</v>
      </c>
      <c r="P118" t="s">
        <v>323</v>
      </c>
      <c r="Q118">
        <v>9.9</v>
      </c>
    </row>
    <row r="119" spans="1:17" x14ac:dyDescent="0.25">
      <c r="A119">
        <v>2025</v>
      </c>
      <c r="B119" t="s">
        <v>319</v>
      </c>
      <c r="C119" t="s">
        <v>324</v>
      </c>
      <c r="D119" t="s">
        <v>90</v>
      </c>
      <c r="E119">
        <v>2.7</v>
      </c>
      <c r="F119">
        <v>4</v>
      </c>
      <c r="G119" t="s">
        <v>80</v>
      </c>
      <c r="H119" t="s">
        <v>73</v>
      </c>
      <c r="I119">
        <v>11.8</v>
      </c>
      <c r="J119">
        <v>8.1999999999999993</v>
      </c>
      <c r="K119">
        <v>10.199999999999999</v>
      </c>
      <c r="L119">
        <v>28</v>
      </c>
      <c r="M119">
        <v>236</v>
      </c>
      <c r="N119">
        <v>5</v>
      </c>
      <c r="O119">
        <v>5</v>
      </c>
      <c r="P119" t="s">
        <v>325</v>
      </c>
      <c r="Q119">
        <v>10.199999999999999</v>
      </c>
    </row>
    <row r="120" spans="1:17" x14ac:dyDescent="0.25">
      <c r="A120">
        <v>2025</v>
      </c>
      <c r="B120" t="s">
        <v>319</v>
      </c>
      <c r="C120" t="s">
        <v>324</v>
      </c>
      <c r="D120" t="s">
        <v>90</v>
      </c>
      <c r="E120">
        <v>3.6</v>
      </c>
      <c r="F120">
        <v>6</v>
      </c>
      <c r="G120" t="s">
        <v>80</v>
      </c>
      <c r="H120" t="s">
        <v>73</v>
      </c>
      <c r="I120">
        <v>15</v>
      </c>
      <c r="J120">
        <v>9.6999999999999993</v>
      </c>
      <c r="K120">
        <v>12.6</v>
      </c>
      <c r="L120">
        <v>22</v>
      </c>
      <c r="M120">
        <v>297</v>
      </c>
      <c r="N120">
        <v>4</v>
      </c>
      <c r="O120">
        <v>4</v>
      </c>
      <c r="P120" t="s">
        <v>325</v>
      </c>
      <c r="Q120">
        <v>12.6</v>
      </c>
    </row>
    <row r="121" spans="1:17" x14ac:dyDescent="0.25">
      <c r="A121">
        <v>2025</v>
      </c>
      <c r="B121" t="s">
        <v>319</v>
      </c>
      <c r="C121" t="s">
        <v>324</v>
      </c>
      <c r="D121" t="s">
        <v>90</v>
      </c>
      <c r="E121">
        <v>3.6</v>
      </c>
      <c r="F121">
        <v>6</v>
      </c>
      <c r="G121" t="s">
        <v>75</v>
      </c>
      <c r="H121" t="s">
        <v>73</v>
      </c>
      <c r="I121">
        <v>15.2</v>
      </c>
      <c r="J121">
        <v>10.199999999999999</v>
      </c>
      <c r="K121">
        <v>12.9</v>
      </c>
      <c r="L121">
        <v>22</v>
      </c>
      <c r="M121">
        <v>303</v>
      </c>
      <c r="N121">
        <v>4</v>
      </c>
      <c r="O121">
        <v>4</v>
      </c>
      <c r="P121" t="s">
        <v>325</v>
      </c>
      <c r="Q121">
        <v>12.9</v>
      </c>
    </row>
    <row r="122" spans="1:17" x14ac:dyDescent="0.25">
      <c r="A122">
        <v>2025</v>
      </c>
      <c r="B122" t="s">
        <v>319</v>
      </c>
      <c r="C122" t="s">
        <v>326</v>
      </c>
      <c r="D122" t="s">
        <v>90</v>
      </c>
      <c r="E122">
        <v>2.7</v>
      </c>
      <c r="F122">
        <v>4</v>
      </c>
      <c r="G122" t="s">
        <v>80</v>
      </c>
      <c r="H122" t="s">
        <v>73</v>
      </c>
      <c r="I122">
        <v>12</v>
      </c>
      <c r="J122">
        <v>8.4</v>
      </c>
      <c r="K122">
        <v>10.4</v>
      </c>
      <c r="L122">
        <v>27</v>
      </c>
      <c r="M122">
        <v>244</v>
      </c>
      <c r="N122">
        <v>5</v>
      </c>
      <c r="O122">
        <v>5</v>
      </c>
      <c r="P122" t="s">
        <v>327</v>
      </c>
      <c r="Q122">
        <v>10.4</v>
      </c>
    </row>
    <row r="123" spans="1:17" x14ac:dyDescent="0.25">
      <c r="A123">
        <v>2025</v>
      </c>
      <c r="B123" t="s">
        <v>319</v>
      </c>
      <c r="C123" t="s">
        <v>328</v>
      </c>
      <c r="D123" t="s">
        <v>96</v>
      </c>
      <c r="E123">
        <v>2</v>
      </c>
      <c r="F123">
        <v>4</v>
      </c>
      <c r="G123" t="s">
        <v>80</v>
      </c>
      <c r="H123" t="s">
        <v>73</v>
      </c>
      <c r="I123">
        <v>10.4</v>
      </c>
      <c r="J123">
        <v>7.3</v>
      </c>
      <c r="K123">
        <v>9</v>
      </c>
      <c r="L123">
        <v>31</v>
      </c>
      <c r="M123">
        <v>212</v>
      </c>
      <c r="N123">
        <v>5</v>
      </c>
      <c r="O123">
        <v>6</v>
      </c>
      <c r="P123" t="s">
        <v>329</v>
      </c>
      <c r="Q123">
        <v>9</v>
      </c>
    </row>
    <row r="124" spans="1:17" x14ac:dyDescent="0.25">
      <c r="A124">
        <v>2025</v>
      </c>
      <c r="B124" t="s">
        <v>319</v>
      </c>
      <c r="C124" t="s">
        <v>328</v>
      </c>
      <c r="D124" t="s">
        <v>96</v>
      </c>
      <c r="E124">
        <v>3</v>
      </c>
      <c r="F124">
        <v>6</v>
      </c>
      <c r="G124" t="s">
        <v>80</v>
      </c>
      <c r="H124" t="s">
        <v>73</v>
      </c>
      <c r="I124">
        <v>12.3</v>
      </c>
      <c r="J124">
        <v>8.4</v>
      </c>
      <c r="K124">
        <v>10.6</v>
      </c>
      <c r="L124">
        <v>27</v>
      </c>
      <c r="M124">
        <v>249</v>
      </c>
      <c r="N124">
        <v>5</v>
      </c>
      <c r="O124">
        <v>4</v>
      </c>
      <c r="P124" t="s">
        <v>329</v>
      </c>
      <c r="Q124">
        <v>10.6</v>
      </c>
    </row>
    <row r="125" spans="1:17" x14ac:dyDescent="0.25">
      <c r="A125">
        <v>2025</v>
      </c>
      <c r="B125" t="s">
        <v>319</v>
      </c>
      <c r="C125" t="s">
        <v>330</v>
      </c>
      <c r="D125" t="s">
        <v>96</v>
      </c>
      <c r="E125">
        <v>2</v>
      </c>
      <c r="F125">
        <v>4</v>
      </c>
      <c r="G125" t="s">
        <v>80</v>
      </c>
      <c r="H125" t="s">
        <v>73</v>
      </c>
      <c r="I125">
        <v>11</v>
      </c>
      <c r="J125">
        <v>7.8</v>
      </c>
      <c r="K125">
        <v>9.6</v>
      </c>
      <c r="L125">
        <v>29</v>
      </c>
      <c r="M125">
        <v>224</v>
      </c>
      <c r="N125">
        <v>5</v>
      </c>
      <c r="O125">
        <v>6</v>
      </c>
      <c r="P125" t="s">
        <v>331</v>
      </c>
      <c r="Q125">
        <v>9.6</v>
      </c>
    </row>
    <row r="126" spans="1:17" x14ac:dyDescent="0.25">
      <c r="A126">
        <v>2025</v>
      </c>
      <c r="B126" t="s">
        <v>319</v>
      </c>
      <c r="C126" t="s">
        <v>330</v>
      </c>
      <c r="D126" t="s">
        <v>96</v>
      </c>
      <c r="E126">
        <v>3</v>
      </c>
      <c r="F126">
        <v>6</v>
      </c>
      <c r="G126" t="s">
        <v>80</v>
      </c>
      <c r="H126" t="s">
        <v>73</v>
      </c>
      <c r="I126">
        <v>13.1</v>
      </c>
      <c r="J126">
        <v>9</v>
      </c>
      <c r="K126">
        <v>11.2</v>
      </c>
      <c r="L126">
        <v>25</v>
      </c>
      <c r="M126">
        <v>264</v>
      </c>
      <c r="N126">
        <v>4</v>
      </c>
      <c r="O126">
        <v>4</v>
      </c>
      <c r="P126" t="s">
        <v>331</v>
      </c>
      <c r="Q126">
        <v>11.2</v>
      </c>
    </row>
    <row r="127" spans="1:17" x14ac:dyDescent="0.25">
      <c r="A127">
        <v>2025</v>
      </c>
      <c r="B127" t="s">
        <v>319</v>
      </c>
      <c r="C127" t="s">
        <v>332</v>
      </c>
      <c r="D127" t="s">
        <v>96</v>
      </c>
      <c r="E127">
        <v>3</v>
      </c>
      <c r="F127">
        <v>6</v>
      </c>
      <c r="G127" t="s">
        <v>80</v>
      </c>
      <c r="H127" t="s">
        <v>73</v>
      </c>
      <c r="I127">
        <v>13.1</v>
      </c>
      <c r="J127">
        <v>8.6999999999999993</v>
      </c>
      <c r="K127">
        <v>11.1</v>
      </c>
      <c r="L127">
        <v>25</v>
      </c>
      <c r="M127">
        <v>261</v>
      </c>
      <c r="N127">
        <v>4</v>
      </c>
      <c r="O127">
        <v>4</v>
      </c>
      <c r="P127" t="s">
        <v>333</v>
      </c>
      <c r="Q127">
        <v>11.1</v>
      </c>
    </row>
    <row r="128" spans="1:17" x14ac:dyDescent="0.25">
      <c r="A128">
        <v>2025</v>
      </c>
      <c r="B128" t="s">
        <v>319</v>
      </c>
      <c r="C128" t="s">
        <v>332</v>
      </c>
      <c r="D128" t="s">
        <v>96</v>
      </c>
      <c r="E128">
        <v>6.2</v>
      </c>
      <c r="F128">
        <v>8</v>
      </c>
      <c r="G128" t="s">
        <v>80</v>
      </c>
      <c r="H128" t="s">
        <v>73</v>
      </c>
      <c r="I128">
        <v>18.5</v>
      </c>
      <c r="J128">
        <v>11.5</v>
      </c>
      <c r="K128">
        <v>15.3</v>
      </c>
      <c r="L128">
        <v>18</v>
      </c>
      <c r="M128">
        <v>360</v>
      </c>
      <c r="N128">
        <v>2</v>
      </c>
      <c r="O128">
        <v>2</v>
      </c>
      <c r="P128" t="s">
        <v>333</v>
      </c>
      <c r="Q128">
        <v>15.3</v>
      </c>
    </row>
    <row r="129" spans="1:17" x14ac:dyDescent="0.25">
      <c r="A129">
        <v>2025</v>
      </c>
      <c r="B129" t="s">
        <v>319</v>
      </c>
      <c r="C129" t="s">
        <v>332</v>
      </c>
      <c r="D129" t="s">
        <v>96</v>
      </c>
      <c r="E129">
        <v>6.2</v>
      </c>
      <c r="F129">
        <v>8</v>
      </c>
      <c r="G129" t="s">
        <v>75</v>
      </c>
      <c r="H129" t="s">
        <v>73</v>
      </c>
      <c r="I129">
        <v>18.7</v>
      </c>
      <c r="J129">
        <v>11.6</v>
      </c>
      <c r="K129">
        <v>15.5</v>
      </c>
      <c r="L129">
        <v>18</v>
      </c>
      <c r="M129">
        <v>365</v>
      </c>
      <c r="N129">
        <v>2</v>
      </c>
      <c r="O129">
        <v>2</v>
      </c>
      <c r="P129" t="s">
        <v>333</v>
      </c>
      <c r="Q129">
        <v>15.5</v>
      </c>
    </row>
    <row r="130" spans="1:17" x14ac:dyDescent="0.25">
      <c r="A130">
        <v>2025</v>
      </c>
      <c r="B130" t="s">
        <v>319</v>
      </c>
      <c r="C130" t="s">
        <v>334</v>
      </c>
      <c r="D130" t="s">
        <v>96</v>
      </c>
      <c r="E130">
        <v>3</v>
      </c>
      <c r="F130">
        <v>6</v>
      </c>
      <c r="G130" t="s">
        <v>80</v>
      </c>
      <c r="H130" t="s">
        <v>73</v>
      </c>
      <c r="I130">
        <v>13.8</v>
      </c>
      <c r="J130">
        <v>9</v>
      </c>
      <c r="K130">
        <v>11.7</v>
      </c>
      <c r="L130">
        <v>24</v>
      </c>
      <c r="M130">
        <v>275</v>
      </c>
      <c r="N130">
        <v>4</v>
      </c>
      <c r="O130">
        <v>4</v>
      </c>
      <c r="P130" t="s">
        <v>335</v>
      </c>
      <c r="Q130">
        <v>11.7</v>
      </c>
    </row>
    <row r="131" spans="1:17" x14ac:dyDescent="0.25">
      <c r="A131">
        <v>2025</v>
      </c>
      <c r="B131" t="s">
        <v>319</v>
      </c>
      <c r="C131" t="s">
        <v>336</v>
      </c>
      <c r="D131" t="s">
        <v>83</v>
      </c>
      <c r="E131">
        <v>6.2</v>
      </c>
      <c r="F131">
        <v>8</v>
      </c>
      <c r="G131" t="s">
        <v>337</v>
      </c>
      <c r="H131" t="s">
        <v>73</v>
      </c>
      <c r="I131">
        <v>16.600000000000001</v>
      </c>
      <c r="J131">
        <v>13</v>
      </c>
      <c r="K131">
        <v>15</v>
      </c>
      <c r="L131">
        <v>19</v>
      </c>
      <c r="M131">
        <v>352</v>
      </c>
      <c r="N131">
        <v>3</v>
      </c>
      <c r="O131">
        <v>5</v>
      </c>
      <c r="P131" t="s">
        <v>338</v>
      </c>
      <c r="Q131">
        <v>15</v>
      </c>
    </row>
    <row r="132" spans="1:17" x14ac:dyDescent="0.25">
      <c r="A132">
        <v>2025</v>
      </c>
      <c r="B132" t="s">
        <v>319</v>
      </c>
      <c r="C132" t="s">
        <v>339</v>
      </c>
      <c r="D132" t="s">
        <v>83</v>
      </c>
      <c r="E132">
        <v>6.2</v>
      </c>
      <c r="F132">
        <v>8</v>
      </c>
      <c r="G132" t="s">
        <v>80</v>
      </c>
      <c r="H132" t="s">
        <v>73</v>
      </c>
      <c r="I132">
        <v>20.8</v>
      </c>
      <c r="J132">
        <v>13.8</v>
      </c>
      <c r="K132">
        <v>17.7</v>
      </c>
      <c r="L132">
        <v>16</v>
      </c>
      <c r="M132">
        <v>415</v>
      </c>
      <c r="N132">
        <v>1</v>
      </c>
      <c r="O132">
        <v>2</v>
      </c>
      <c r="P132" t="s">
        <v>340</v>
      </c>
      <c r="Q132">
        <v>17.7</v>
      </c>
    </row>
    <row r="133" spans="1:17" x14ac:dyDescent="0.25">
      <c r="A133">
        <v>2025</v>
      </c>
      <c r="B133" t="s">
        <v>319</v>
      </c>
      <c r="C133" t="s">
        <v>341</v>
      </c>
      <c r="D133" t="s">
        <v>79</v>
      </c>
      <c r="E133">
        <v>2</v>
      </c>
      <c r="F133">
        <v>4</v>
      </c>
      <c r="G133" t="s">
        <v>314</v>
      </c>
      <c r="H133" t="s">
        <v>73</v>
      </c>
      <c r="I133">
        <v>10.4</v>
      </c>
      <c r="J133">
        <v>8.3000000000000007</v>
      </c>
      <c r="K133">
        <v>9.5</v>
      </c>
      <c r="L133">
        <v>30</v>
      </c>
      <c r="M133">
        <v>222</v>
      </c>
      <c r="N133">
        <v>5</v>
      </c>
      <c r="O133">
        <v>6</v>
      </c>
      <c r="P133" t="s">
        <v>342</v>
      </c>
      <c r="Q133">
        <v>9.5</v>
      </c>
    </row>
    <row r="134" spans="1:17" x14ac:dyDescent="0.25">
      <c r="A134">
        <v>2025</v>
      </c>
      <c r="B134" t="s">
        <v>319</v>
      </c>
      <c r="C134" t="s">
        <v>343</v>
      </c>
      <c r="D134" t="s">
        <v>79</v>
      </c>
      <c r="E134">
        <v>2</v>
      </c>
      <c r="F134">
        <v>4</v>
      </c>
      <c r="G134" t="s">
        <v>314</v>
      </c>
      <c r="H134" t="s">
        <v>73</v>
      </c>
      <c r="I134">
        <v>10.9</v>
      </c>
      <c r="J134">
        <v>8.1999999999999993</v>
      </c>
      <c r="K134">
        <v>9.6999999999999993</v>
      </c>
      <c r="L134">
        <v>29</v>
      </c>
      <c r="M134">
        <v>228</v>
      </c>
      <c r="N134">
        <v>5</v>
      </c>
      <c r="O134">
        <v>6</v>
      </c>
      <c r="P134" t="s">
        <v>344</v>
      </c>
      <c r="Q134">
        <v>9.6999999999999993</v>
      </c>
    </row>
    <row r="135" spans="1:17" x14ac:dyDescent="0.25">
      <c r="A135">
        <v>2025</v>
      </c>
      <c r="B135" t="s">
        <v>319</v>
      </c>
      <c r="C135" t="s">
        <v>345</v>
      </c>
      <c r="D135" t="s">
        <v>79</v>
      </c>
      <c r="E135">
        <v>2</v>
      </c>
      <c r="F135">
        <v>4</v>
      </c>
      <c r="G135" t="s">
        <v>314</v>
      </c>
      <c r="H135" t="s">
        <v>73</v>
      </c>
      <c r="I135">
        <v>11.2</v>
      </c>
      <c r="J135">
        <v>8.6999999999999993</v>
      </c>
      <c r="K135">
        <v>10.1</v>
      </c>
      <c r="L135">
        <v>28</v>
      </c>
      <c r="M135">
        <v>237</v>
      </c>
      <c r="N135">
        <v>5</v>
      </c>
      <c r="O135">
        <v>6</v>
      </c>
      <c r="P135" t="s">
        <v>346</v>
      </c>
      <c r="Q135">
        <v>10.1</v>
      </c>
    </row>
    <row r="136" spans="1:17" x14ac:dyDescent="0.25">
      <c r="A136">
        <v>2025</v>
      </c>
      <c r="B136" t="s">
        <v>319</v>
      </c>
      <c r="C136" t="s">
        <v>345</v>
      </c>
      <c r="D136" t="s">
        <v>79</v>
      </c>
      <c r="E136">
        <v>3.6</v>
      </c>
      <c r="F136">
        <v>6</v>
      </c>
      <c r="G136" t="s">
        <v>314</v>
      </c>
      <c r="H136" t="s">
        <v>105</v>
      </c>
      <c r="I136">
        <v>12.9</v>
      </c>
      <c r="J136">
        <v>9.1999999999999993</v>
      </c>
      <c r="K136">
        <v>11.2</v>
      </c>
      <c r="L136">
        <v>25</v>
      </c>
      <c r="M136">
        <v>264</v>
      </c>
      <c r="N136">
        <v>4</v>
      </c>
      <c r="O136">
        <v>5</v>
      </c>
      <c r="P136" t="s">
        <v>346</v>
      </c>
      <c r="Q136">
        <v>11.2</v>
      </c>
    </row>
    <row r="137" spans="1:17" x14ac:dyDescent="0.25">
      <c r="A137">
        <v>2025</v>
      </c>
      <c r="B137" t="s">
        <v>319</v>
      </c>
      <c r="C137" t="s">
        <v>347</v>
      </c>
      <c r="D137" t="s">
        <v>79</v>
      </c>
      <c r="E137">
        <v>2</v>
      </c>
      <c r="F137">
        <v>4</v>
      </c>
      <c r="G137" t="s">
        <v>314</v>
      </c>
      <c r="H137" t="s">
        <v>73</v>
      </c>
      <c r="I137">
        <v>11.2</v>
      </c>
      <c r="J137">
        <v>9</v>
      </c>
      <c r="K137">
        <v>10.199999999999999</v>
      </c>
      <c r="L137">
        <v>28</v>
      </c>
      <c r="M137">
        <v>239</v>
      </c>
      <c r="N137">
        <v>5</v>
      </c>
      <c r="O137">
        <v>6</v>
      </c>
      <c r="P137" t="s">
        <v>348</v>
      </c>
      <c r="Q137">
        <v>10.199999999999999</v>
      </c>
    </row>
    <row r="138" spans="1:17" x14ac:dyDescent="0.25">
      <c r="A138">
        <v>2025</v>
      </c>
      <c r="B138" t="s">
        <v>319</v>
      </c>
      <c r="C138" t="s">
        <v>347</v>
      </c>
      <c r="D138" t="s">
        <v>79</v>
      </c>
      <c r="E138">
        <v>3.6</v>
      </c>
      <c r="F138">
        <v>6</v>
      </c>
      <c r="G138" t="s">
        <v>314</v>
      </c>
      <c r="H138" t="s">
        <v>105</v>
      </c>
      <c r="I138">
        <v>13.1</v>
      </c>
      <c r="J138">
        <v>9.5</v>
      </c>
      <c r="K138">
        <v>11.5</v>
      </c>
      <c r="L138">
        <v>25</v>
      </c>
      <c r="M138">
        <v>270</v>
      </c>
      <c r="N138">
        <v>4</v>
      </c>
      <c r="O138">
        <v>5</v>
      </c>
      <c r="P138" t="s">
        <v>348</v>
      </c>
      <c r="Q138">
        <v>11.5</v>
      </c>
    </row>
    <row r="139" spans="1:17" x14ac:dyDescent="0.25">
      <c r="A139">
        <v>2025</v>
      </c>
      <c r="B139" t="s">
        <v>349</v>
      </c>
      <c r="C139" t="s">
        <v>350</v>
      </c>
      <c r="D139" t="s">
        <v>79</v>
      </c>
      <c r="E139">
        <v>2</v>
      </c>
      <c r="F139">
        <v>4</v>
      </c>
      <c r="G139" t="s">
        <v>104</v>
      </c>
      <c r="H139" t="s">
        <v>105</v>
      </c>
      <c r="I139">
        <v>10.8</v>
      </c>
      <c r="J139">
        <v>8.6999999999999993</v>
      </c>
      <c r="K139">
        <v>9.9</v>
      </c>
      <c r="L139">
        <v>29</v>
      </c>
      <c r="M139">
        <v>229</v>
      </c>
      <c r="N139">
        <v>5</v>
      </c>
      <c r="O139">
        <v>6</v>
      </c>
      <c r="P139" t="s">
        <v>351</v>
      </c>
      <c r="Q139">
        <v>9.9</v>
      </c>
    </row>
    <row r="140" spans="1:17" x14ac:dyDescent="0.25">
      <c r="A140">
        <v>2025</v>
      </c>
      <c r="B140" t="s">
        <v>349</v>
      </c>
      <c r="C140" t="s">
        <v>350</v>
      </c>
      <c r="D140" t="s">
        <v>79</v>
      </c>
      <c r="E140">
        <v>3.6</v>
      </c>
      <c r="F140">
        <v>6</v>
      </c>
      <c r="G140" t="s">
        <v>104</v>
      </c>
      <c r="H140" t="s">
        <v>105</v>
      </c>
      <c r="I140">
        <v>12.8</v>
      </c>
      <c r="J140">
        <v>9.1</v>
      </c>
      <c r="K140">
        <v>11.2</v>
      </c>
      <c r="L140">
        <v>25</v>
      </c>
      <c r="M140">
        <v>262</v>
      </c>
      <c r="N140">
        <v>4</v>
      </c>
      <c r="O140">
        <v>5</v>
      </c>
      <c r="P140" t="s">
        <v>351</v>
      </c>
      <c r="Q140">
        <v>11.2</v>
      </c>
    </row>
    <row r="141" spans="1:17" x14ac:dyDescent="0.25">
      <c r="A141">
        <v>2025</v>
      </c>
      <c r="B141" t="s">
        <v>349</v>
      </c>
      <c r="C141" t="s">
        <v>352</v>
      </c>
      <c r="D141" t="s">
        <v>353</v>
      </c>
      <c r="E141">
        <v>2.7</v>
      </c>
      <c r="F141">
        <v>4</v>
      </c>
      <c r="G141" t="s">
        <v>97</v>
      </c>
      <c r="H141" t="s">
        <v>105</v>
      </c>
      <c r="I141">
        <v>12.4</v>
      </c>
      <c r="J141">
        <v>10.3</v>
      </c>
      <c r="K141">
        <v>11.5</v>
      </c>
      <c r="L141">
        <v>25</v>
      </c>
      <c r="M141">
        <v>291</v>
      </c>
      <c r="N141">
        <v>4</v>
      </c>
      <c r="O141">
        <v>6</v>
      </c>
      <c r="P141" t="s">
        <v>354</v>
      </c>
      <c r="Q141">
        <v>11.5</v>
      </c>
    </row>
    <row r="142" spans="1:17" x14ac:dyDescent="0.25">
      <c r="A142">
        <v>2025</v>
      </c>
      <c r="B142" t="s">
        <v>349</v>
      </c>
      <c r="C142" t="s">
        <v>355</v>
      </c>
      <c r="D142" t="s">
        <v>353</v>
      </c>
      <c r="E142">
        <v>2.7</v>
      </c>
      <c r="F142">
        <v>4</v>
      </c>
      <c r="G142" t="s">
        <v>97</v>
      </c>
      <c r="H142" t="s">
        <v>105</v>
      </c>
      <c r="I142">
        <v>13.6</v>
      </c>
      <c r="J142">
        <v>11</v>
      </c>
      <c r="K142">
        <v>12.4</v>
      </c>
      <c r="L142">
        <v>23</v>
      </c>
      <c r="M142">
        <v>303</v>
      </c>
      <c r="N142">
        <v>4</v>
      </c>
      <c r="O142">
        <v>6</v>
      </c>
      <c r="P142" t="s">
        <v>356</v>
      </c>
      <c r="Q142">
        <v>12.4</v>
      </c>
    </row>
    <row r="143" spans="1:17" x14ac:dyDescent="0.25">
      <c r="A143">
        <v>2025</v>
      </c>
      <c r="B143" t="s">
        <v>349</v>
      </c>
      <c r="C143" t="s">
        <v>357</v>
      </c>
      <c r="D143" t="s">
        <v>353</v>
      </c>
      <c r="E143">
        <v>2.7</v>
      </c>
      <c r="F143">
        <v>4</v>
      </c>
      <c r="G143" t="s">
        <v>97</v>
      </c>
      <c r="H143" t="s">
        <v>105</v>
      </c>
      <c r="I143">
        <v>14</v>
      </c>
      <c r="J143">
        <v>11.9</v>
      </c>
      <c r="K143">
        <v>13.1</v>
      </c>
      <c r="L143">
        <v>22</v>
      </c>
      <c r="M143">
        <v>307</v>
      </c>
      <c r="N143">
        <v>4</v>
      </c>
      <c r="O143">
        <v>6</v>
      </c>
      <c r="P143" t="s">
        <v>358</v>
      </c>
      <c r="Q143">
        <v>13.1</v>
      </c>
    </row>
    <row r="144" spans="1:17" x14ac:dyDescent="0.25">
      <c r="A144">
        <v>2025</v>
      </c>
      <c r="B144" t="s">
        <v>349</v>
      </c>
      <c r="C144" t="s">
        <v>359</v>
      </c>
      <c r="D144" t="s">
        <v>353</v>
      </c>
      <c r="E144">
        <v>2.7</v>
      </c>
      <c r="F144">
        <v>4</v>
      </c>
      <c r="G144" t="s">
        <v>97</v>
      </c>
      <c r="H144" t="s">
        <v>105</v>
      </c>
      <c r="I144">
        <v>14.1</v>
      </c>
      <c r="J144">
        <v>13.8</v>
      </c>
      <c r="K144">
        <v>14</v>
      </c>
      <c r="L144">
        <v>20</v>
      </c>
      <c r="M144">
        <v>328</v>
      </c>
      <c r="N144">
        <v>3</v>
      </c>
      <c r="O144">
        <v>6</v>
      </c>
      <c r="P144" t="s">
        <v>360</v>
      </c>
      <c r="Q144">
        <v>14</v>
      </c>
    </row>
    <row r="145" spans="1:17" x14ac:dyDescent="0.25">
      <c r="A145">
        <v>2025</v>
      </c>
      <c r="B145" t="s">
        <v>349</v>
      </c>
      <c r="C145" t="s">
        <v>361</v>
      </c>
      <c r="D145" t="s">
        <v>353</v>
      </c>
      <c r="E145">
        <v>2.7</v>
      </c>
      <c r="F145">
        <v>4</v>
      </c>
      <c r="G145" t="s">
        <v>97</v>
      </c>
      <c r="H145" t="s">
        <v>105</v>
      </c>
      <c r="I145">
        <v>14.8</v>
      </c>
      <c r="J145">
        <v>15.1</v>
      </c>
      <c r="K145">
        <v>14.9</v>
      </c>
      <c r="L145">
        <v>19</v>
      </c>
      <c r="M145">
        <v>350</v>
      </c>
      <c r="N145">
        <v>3</v>
      </c>
      <c r="O145">
        <v>6</v>
      </c>
      <c r="P145" t="s">
        <v>362</v>
      </c>
      <c r="Q145">
        <v>14.9</v>
      </c>
    </row>
    <row r="146" spans="1:17" x14ac:dyDescent="0.25">
      <c r="A146">
        <v>2025</v>
      </c>
      <c r="B146" t="s">
        <v>349</v>
      </c>
      <c r="C146" t="s">
        <v>363</v>
      </c>
      <c r="D146" t="s">
        <v>114</v>
      </c>
      <c r="E146">
        <v>6.2</v>
      </c>
      <c r="F146">
        <v>8</v>
      </c>
      <c r="G146" t="s">
        <v>142</v>
      </c>
      <c r="H146" t="s">
        <v>73</v>
      </c>
      <c r="I146">
        <v>15</v>
      </c>
      <c r="J146">
        <v>9.4</v>
      </c>
      <c r="K146">
        <v>12.5</v>
      </c>
      <c r="L146">
        <v>23</v>
      </c>
      <c r="M146">
        <v>294</v>
      </c>
      <c r="N146">
        <v>4</v>
      </c>
      <c r="O146">
        <v>4</v>
      </c>
      <c r="P146" t="s">
        <v>364</v>
      </c>
      <c r="Q146">
        <v>12.5</v>
      </c>
    </row>
    <row r="147" spans="1:17" x14ac:dyDescent="0.25">
      <c r="A147">
        <v>2025</v>
      </c>
      <c r="B147" t="s">
        <v>349</v>
      </c>
      <c r="C147" t="s">
        <v>365</v>
      </c>
      <c r="D147" t="s">
        <v>114</v>
      </c>
      <c r="E147">
        <v>6.2</v>
      </c>
      <c r="F147">
        <v>8</v>
      </c>
      <c r="G147" t="s">
        <v>142</v>
      </c>
      <c r="H147" t="s">
        <v>73</v>
      </c>
      <c r="I147">
        <v>15.2</v>
      </c>
      <c r="J147">
        <v>9.6999999999999993</v>
      </c>
      <c r="K147">
        <v>12.7</v>
      </c>
      <c r="L147">
        <v>22</v>
      </c>
      <c r="M147">
        <v>298</v>
      </c>
      <c r="N147">
        <v>4</v>
      </c>
      <c r="O147">
        <v>2</v>
      </c>
      <c r="P147" t="s">
        <v>366</v>
      </c>
      <c r="Q147">
        <v>12.7</v>
      </c>
    </row>
    <row r="148" spans="1:17" x14ac:dyDescent="0.25">
      <c r="A148">
        <v>2025</v>
      </c>
      <c r="B148" t="s">
        <v>349</v>
      </c>
      <c r="C148" t="s">
        <v>367</v>
      </c>
      <c r="D148" t="s">
        <v>114</v>
      </c>
      <c r="E148">
        <v>5.5</v>
      </c>
      <c r="F148">
        <v>8</v>
      </c>
      <c r="G148" t="s">
        <v>142</v>
      </c>
      <c r="H148" t="s">
        <v>73</v>
      </c>
      <c r="I148">
        <v>20</v>
      </c>
      <c r="J148">
        <v>11.7</v>
      </c>
      <c r="K148">
        <v>16.3</v>
      </c>
      <c r="L148">
        <v>17</v>
      </c>
      <c r="M148">
        <v>382</v>
      </c>
      <c r="N148">
        <v>2</v>
      </c>
      <c r="O148">
        <v>2</v>
      </c>
      <c r="P148" t="s">
        <v>368</v>
      </c>
      <c r="Q148">
        <v>16.3</v>
      </c>
    </row>
    <row r="149" spans="1:17" x14ac:dyDescent="0.25">
      <c r="A149">
        <v>2025</v>
      </c>
      <c r="B149" t="s">
        <v>349</v>
      </c>
      <c r="C149" t="s">
        <v>369</v>
      </c>
      <c r="D149" t="s">
        <v>114</v>
      </c>
      <c r="E149">
        <v>5.5</v>
      </c>
      <c r="F149">
        <v>8</v>
      </c>
      <c r="G149" t="s">
        <v>142</v>
      </c>
      <c r="H149" t="s">
        <v>73</v>
      </c>
      <c r="I149">
        <v>20</v>
      </c>
      <c r="J149">
        <v>12.6</v>
      </c>
      <c r="K149">
        <v>16.7</v>
      </c>
      <c r="L149">
        <v>17</v>
      </c>
      <c r="M149">
        <v>392</v>
      </c>
      <c r="N149">
        <v>2</v>
      </c>
      <c r="O149">
        <v>2</v>
      </c>
      <c r="P149" t="s">
        <v>370</v>
      </c>
      <c r="Q149">
        <v>16.7</v>
      </c>
    </row>
    <row r="150" spans="1:17" x14ac:dyDescent="0.25">
      <c r="A150">
        <v>2025</v>
      </c>
      <c r="B150" t="s">
        <v>349</v>
      </c>
      <c r="C150" t="s">
        <v>371</v>
      </c>
      <c r="D150" t="s">
        <v>114</v>
      </c>
      <c r="E150">
        <v>5.5</v>
      </c>
      <c r="F150">
        <v>8</v>
      </c>
      <c r="G150" t="s">
        <v>142</v>
      </c>
      <c r="H150" t="s">
        <v>73</v>
      </c>
      <c r="I150">
        <v>20</v>
      </c>
      <c r="J150">
        <v>13</v>
      </c>
      <c r="K150">
        <v>16.899999999999999</v>
      </c>
      <c r="L150">
        <v>17</v>
      </c>
      <c r="M150">
        <v>396</v>
      </c>
      <c r="N150">
        <v>2</v>
      </c>
      <c r="O150">
        <v>2</v>
      </c>
      <c r="P150" t="s">
        <v>372</v>
      </c>
      <c r="Q150">
        <v>16.899999999999999</v>
      </c>
    </row>
    <row r="151" spans="1:17" x14ac:dyDescent="0.25">
      <c r="A151">
        <v>2025</v>
      </c>
      <c r="B151" t="s">
        <v>349</v>
      </c>
      <c r="C151" t="s">
        <v>373</v>
      </c>
      <c r="D151" t="s">
        <v>79</v>
      </c>
      <c r="E151">
        <v>1.5</v>
      </c>
      <c r="F151">
        <v>4</v>
      </c>
      <c r="G151" t="s">
        <v>309</v>
      </c>
      <c r="H151" t="s">
        <v>105</v>
      </c>
      <c r="I151">
        <v>9.1999999999999993</v>
      </c>
      <c r="J151">
        <v>8.3000000000000007</v>
      </c>
      <c r="K151">
        <v>8.8000000000000007</v>
      </c>
      <c r="L151">
        <v>32</v>
      </c>
      <c r="M151">
        <v>206</v>
      </c>
      <c r="N151">
        <v>5</v>
      </c>
      <c r="O151">
        <v>6</v>
      </c>
      <c r="P151" t="s">
        <v>374</v>
      </c>
      <c r="Q151">
        <v>8.8000000000000007</v>
      </c>
    </row>
    <row r="152" spans="1:17" x14ac:dyDescent="0.25">
      <c r="A152">
        <v>2025</v>
      </c>
      <c r="B152" t="s">
        <v>349</v>
      </c>
      <c r="C152" t="s">
        <v>375</v>
      </c>
      <c r="D152" t="s">
        <v>79</v>
      </c>
      <c r="E152">
        <v>1.5</v>
      </c>
      <c r="F152">
        <v>4</v>
      </c>
      <c r="G152" t="s">
        <v>97</v>
      </c>
      <c r="H152" t="s">
        <v>105</v>
      </c>
      <c r="I152">
        <v>10</v>
      </c>
      <c r="J152">
        <v>8.1999999999999993</v>
      </c>
      <c r="K152">
        <v>9.1999999999999993</v>
      </c>
      <c r="L152">
        <v>31</v>
      </c>
      <c r="M152">
        <v>216</v>
      </c>
      <c r="N152">
        <v>5</v>
      </c>
      <c r="O152">
        <v>6</v>
      </c>
      <c r="P152" t="s">
        <v>376</v>
      </c>
      <c r="Q152">
        <v>9.1999999999999993</v>
      </c>
    </row>
    <row r="153" spans="1:17" x14ac:dyDescent="0.25">
      <c r="A153">
        <v>2025</v>
      </c>
      <c r="B153" t="s">
        <v>349</v>
      </c>
      <c r="C153" t="s">
        <v>377</v>
      </c>
      <c r="D153" t="s">
        <v>96</v>
      </c>
      <c r="E153">
        <v>1.5</v>
      </c>
      <c r="F153">
        <v>4</v>
      </c>
      <c r="G153" t="s">
        <v>309</v>
      </c>
      <c r="H153" t="s">
        <v>105</v>
      </c>
      <c r="I153">
        <v>8.5</v>
      </c>
      <c r="J153">
        <v>6.8</v>
      </c>
      <c r="K153">
        <v>7.7</v>
      </c>
      <c r="L153">
        <v>37</v>
      </c>
      <c r="M153">
        <v>180</v>
      </c>
      <c r="N153">
        <v>6</v>
      </c>
      <c r="O153">
        <v>6</v>
      </c>
      <c r="P153" t="s">
        <v>378</v>
      </c>
      <c r="Q153">
        <v>7.7</v>
      </c>
    </row>
    <row r="154" spans="1:17" x14ac:dyDescent="0.25">
      <c r="A154">
        <v>2025</v>
      </c>
      <c r="B154" t="s">
        <v>349</v>
      </c>
      <c r="C154" t="s">
        <v>379</v>
      </c>
      <c r="D154" t="s">
        <v>353</v>
      </c>
      <c r="E154">
        <v>2.7</v>
      </c>
      <c r="F154">
        <v>4</v>
      </c>
      <c r="G154" t="s">
        <v>97</v>
      </c>
      <c r="H154" t="s">
        <v>105</v>
      </c>
      <c r="I154">
        <v>13.4</v>
      </c>
      <c r="J154">
        <v>11.2</v>
      </c>
      <c r="K154">
        <v>12.5</v>
      </c>
      <c r="L154">
        <v>23</v>
      </c>
      <c r="M154">
        <v>292</v>
      </c>
      <c r="N154">
        <v>4</v>
      </c>
      <c r="O154">
        <v>6</v>
      </c>
      <c r="P154" t="s">
        <v>380</v>
      </c>
      <c r="Q154">
        <v>12.5</v>
      </c>
    </row>
    <row r="155" spans="1:17" x14ac:dyDescent="0.25">
      <c r="A155">
        <v>2025</v>
      </c>
      <c r="B155" t="s">
        <v>349</v>
      </c>
      <c r="C155" t="s">
        <v>379</v>
      </c>
      <c r="D155" t="s">
        <v>353</v>
      </c>
      <c r="E155">
        <v>3</v>
      </c>
      <c r="F155">
        <v>6</v>
      </c>
      <c r="G155" t="s">
        <v>337</v>
      </c>
      <c r="H155" t="s">
        <v>381</v>
      </c>
      <c r="I155">
        <v>10</v>
      </c>
      <c r="J155">
        <v>8.3000000000000007</v>
      </c>
      <c r="K155">
        <v>9.3000000000000007</v>
      </c>
      <c r="L155">
        <v>30</v>
      </c>
      <c r="M155">
        <v>249</v>
      </c>
      <c r="N155">
        <v>5</v>
      </c>
      <c r="O155">
        <v>4</v>
      </c>
      <c r="P155" t="s">
        <v>380</v>
      </c>
      <c r="Q155">
        <v>9.3000000000000007</v>
      </c>
    </row>
    <row r="156" spans="1:17" x14ac:dyDescent="0.25">
      <c r="A156">
        <v>2025</v>
      </c>
      <c r="B156" t="s">
        <v>349</v>
      </c>
      <c r="C156" t="s">
        <v>379</v>
      </c>
      <c r="D156" t="s">
        <v>353</v>
      </c>
      <c r="E156">
        <v>5.3</v>
      </c>
      <c r="F156">
        <v>8</v>
      </c>
      <c r="G156" t="s">
        <v>337</v>
      </c>
      <c r="H156" t="s">
        <v>105</v>
      </c>
      <c r="I156">
        <v>14.8</v>
      </c>
      <c r="J156">
        <v>11.2</v>
      </c>
      <c r="K156">
        <v>13.2</v>
      </c>
      <c r="L156">
        <v>21</v>
      </c>
      <c r="M156">
        <v>309</v>
      </c>
      <c r="N156">
        <v>4</v>
      </c>
      <c r="O156">
        <v>6</v>
      </c>
      <c r="P156" t="s">
        <v>380</v>
      </c>
      <c r="Q156">
        <v>13.2</v>
      </c>
    </row>
    <row r="157" spans="1:17" x14ac:dyDescent="0.25">
      <c r="A157">
        <v>2025</v>
      </c>
      <c r="B157" t="s">
        <v>349</v>
      </c>
      <c r="C157" t="s">
        <v>382</v>
      </c>
      <c r="D157" t="s">
        <v>353</v>
      </c>
      <c r="E157">
        <v>2.7</v>
      </c>
      <c r="F157">
        <v>4</v>
      </c>
      <c r="G157" t="s">
        <v>97</v>
      </c>
      <c r="H157" t="s">
        <v>105</v>
      </c>
      <c r="I157">
        <v>13.7</v>
      </c>
      <c r="J157">
        <v>12</v>
      </c>
      <c r="K157">
        <v>12.9</v>
      </c>
      <c r="L157">
        <v>22</v>
      </c>
      <c r="M157">
        <v>303</v>
      </c>
      <c r="N157">
        <v>4</v>
      </c>
      <c r="O157">
        <v>6</v>
      </c>
      <c r="P157" t="s">
        <v>383</v>
      </c>
      <c r="Q157">
        <v>12.9</v>
      </c>
    </row>
    <row r="158" spans="1:17" x14ac:dyDescent="0.25">
      <c r="A158">
        <v>2025</v>
      </c>
      <c r="B158" t="s">
        <v>349</v>
      </c>
      <c r="C158" t="s">
        <v>384</v>
      </c>
      <c r="D158" t="s">
        <v>353</v>
      </c>
      <c r="E158">
        <v>2.7</v>
      </c>
      <c r="F158">
        <v>4</v>
      </c>
      <c r="G158" t="s">
        <v>97</v>
      </c>
      <c r="H158" t="s">
        <v>105</v>
      </c>
      <c r="I158">
        <v>14.7</v>
      </c>
      <c r="J158">
        <v>13.8</v>
      </c>
      <c r="K158">
        <v>14.3</v>
      </c>
      <c r="L158">
        <v>20</v>
      </c>
      <c r="M158">
        <v>335</v>
      </c>
      <c r="N158">
        <v>3</v>
      </c>
      <c r="O158">
        <v>6</v>
      </c>
      <c r="P158" t="s">
        <v>385</v>
      </c>
      <c r="Q158">
        <v>14.3</v>
      </c>
    </row>
    <row r="159" spans="1:17" x14ac:dyDescent="0.25">
      <c r="A159">
        <v>2025</v>
      </c>
      <c r="B159" t="s">
        <v>349</v>
      </c>
      <c r="C159" t="s">
        <v>382</v>
      </c>
      <c r="D159" t="s">
        <v>353</v>
      </c>
      <c r="E159">
        <v>3</v>
      </c>
      <c r="F159">
        <v>6</v>
      </c>
      <c r="G159" t="s">
        <v>337</v>
      </c>
      <c r="H159" t="s">
        <v>381</v>
      </c>
      <c r="I159">
        <v>10.7</v>
      </c>
      <c r="J159">
        <v>9.3000000000000007</v>
      </c>
      <c r="K159">
        <v>10.1</v>
      </c>
      <c r="L159">
        <v>28</v>
      </c>
      <c r="M159">
        <v>270</v>
      </c>
      <c r="N159">
        <v>4</v>
      </c>
      <c r="O159">
        <v>4</v>
      </c>
      <c r="P159" t="s">
        <v>383</v>
      </c>
      <c r="Q159">
        <v>10.1</v>
      </c>
    </row>
    <row r="160" spans="1:17" x14ac:dyDescent="0.25">
      <c r="A160">
        <v>2025</v>
      </c>
      <c r="B160" t="s">
        <v>349</v>
      </c>
      <c r="C160" t="s">
        <v>386</v>
      </c>
      <c r="D160" t="s">
        <v>353</v>
      </c>
      <c r="E160">
        <v>3</v>
      </c>
      <c r="F160">
        <v>6</v>
      </c>
      <c r="G160" t="s">
        <v>337</v>
      </c>
      <c r="H160" t="s">
        <v>381</v>
      </c>
      <c r="I160">
        <v>10.6</v>
      </c>
      <c r="J160">
        <v>9</v>
      </c>
      <c r="K160">
        <v>9.9</v>
      </c>
      <c r="L160">
        <v>29</v>
      </c>
      <c r="M160">
        <v>266</v>
      </c>
      <c r="N160">
        <v>4</v>
      </c>
      <c r="O160">
        <v>4</v>
      </c>
      <c r="P160" t="s">
        <v>387</v>
      </c>
      <c r="Q160">
        <v>9.9</v>
      </c>
    </row>
    <row r="161" spans="1:17" x14ac:dyDescent="0.25">
      <c r="A161">
        <v>2025</v>
      </c>
      <c r="B161" t="s">
        <v>349</v>
      </c>
      <c r="C161" t="s">
        <v>384</v>
      </c>
      <c r="D161" t="s">
        <v>353</v>
      </c>
      <c r="E161">
        <v>3</v>
      </c>
      <c r="F161">
        <v>6</v>
      </c>
      <c r="G161" t="s">
        <v>337</v>
      </c>
      <c r="H161" t="s">
        <v>381</v>
      </c>
      <c r="I161">
        <v>11.1</v>
      </c>
      <c r="J161">
        <v>10</v>
      </c>
      <c r="K161">
        <v>10.6</v>
      </c>
      <c r="L161">
        <v>27</v>
      </c>
      <c r="M161">
        <v>285</v>
      </c>
      <c r="N161">
        <v>4</v>
      </c>
      <c r="O161">
        <v>4</v>
      </c>
      <c r="P161" t="s">
        <v>385</v>
      </c>
      <c r="Q161">
        <v>10.6</v>
      </c>
    </row>
    <row r="162" spans="1:17" x14ac:dyDescent="0.25">
      <c r="A162">
        <v>2025</v>
      </c>
      <c r="B162" t="s">
        <v>349</v>
      </c>
      <c r="C162" t="s">
        <v>382</v>
      </c>
      <c r="D162" t="s">
        <v>353</v>
      </c>
      <c r="E162">
        <v>5.3</v>
      </c>
      <c r="F162">
        <v>8</v>
      </c>
      <c r="G162" t="s">
        <v>337</v>
      </c>
      <c r="H162" t="s">
        <v>105</v>
      </c>
      <c r="I162">
        <v>15.2</v>
      </c>
      <c r="J162">
        <v>12.4</v>
      </c>
      <c r="K162">
        <v>13.9</v>
      </c>
      <c r="L162">
        <v>20</v>
      </c>
      <c r="M162">
        <v>326</v>
      </c>
      <c r="N162">
        <v>3</v>
      </c>
      <c r="O162">
        <v>6</v>
      </c>
      <c r="P162" t="s">
        <v>383</v>
      </c>
      <c r="Q162">
        <v>13.9</v>
      </c>
    </row>
    <row r="163" spans="1:17" x14ac:dyDescent="0.25">
      <c r="A163">
        <v>2025</v>
      </c>
      <c r="B163" t="s">
        <v>349</v>
      </c>
      <c r="C163" t="s">
        <v>388</v>
      </c>
      <c r="D163" t="s">
        <v>353</v>
      </c>
      <c r="E163">
        <v>5.3</v>
      </c>
      <c r="F163">
        <v>8</v>
      </c>
      <c r="G163" t="s">
        <v>337</v>
      </c>
      <c r="H163" t="s">
        <v>105</v>
      </c>
      <c r="I163">
        <v>15.2</v>
      </c>
      <c r="J163">
        <v>12.2</v>
      </c>
      <c r="K163">
        <v>13.9</v>
      </c>
      <c r="L163">
        <v>20</v>
      </c>
      <c r="M163">
        <v>326</v>
      </c>
      <c r="N163">
        <v>3</v>
      </c>
      <c r="O163">
        <v>4</v>
      </c>
      <c r="P163" t="s">
        <v>389</v>
      </c>
      <c r="Q163">
        <v>13.9</v>
      </c>
    </row>
    <row r="164" spans="1:17" x14ac:dyDescent="0.25">
      <c r="A164">
        <v>2025</v>
      </c>
      <c r="B164" t="s">
        <v>349</v>
      </c>
      <c r="C164" t="s">
        <v>388</v>
      </c>
      <c r="D164" t="s">
        <v>353</v>
      </c>
      <c r="E164">
        <v>5.3</v>
      </c>
      <c r="F164">
        <v>8</v>
      </c>
      <c r="G164" t="s">
        <v>337</v>
      </c>
      <c r="H164" t="s">
        <v>390</v>
      </c>
      <c r="I164">
        <v>21.3</v>
      </c>
      <c r="J164">
        <v>16.600000000000001</v>
      </c>
      <c r="K164">
        <v>19.2</v>
      </c>
      <c r="L164">
        <v>15</v>
      </c>
      <c r="M164">
        <v>318</v>
      </c>
      <c r="N164">
        <v>3</v>
      </c>
      <c r="O164">
        <v>4</v>
      </c>
      <c r="P164" t="s">
        <v>389</v>
      </c>
      <c r="Q164">
        <v>19.2</v>
      </c>
    </row>
    <row r="165" spans="1:17" x14ac:dyDescent="0.25">
      <c r="A165">
        <v>2025</v>
      </c>
      <c r="B165" t="s">
        <v>349</v>
      </c>
      <c r="C165" t="s">
        <v>384</v>
      </c>
      <c r="D165" t="s">
        <v>353</v>
      </c>
      <c r="E165">
        <v>5.3</v>
      </c>
      <c r="F165">
        <v>8</v>
      </c>
      <c r="G165" t="s">
        <v>337</v>
      </c>
      <c r="H165" t="s">
        <v>105</v>
      </c>
      <c r="I165">
        <v>15.6</v>
      </c>
      <c r="J165">
        <v>13.1</v>
      </c>
      <c r="K165">
        <v>14.5</v>
      </c>
      <c r="L165">
        <v>19</v>
      </c>
      <c r="M165">
        <v>339</v>
      </c>
      <c r="N165">
        <v>3</v>
      </c>
      <c r="O165">
        <v>6</v>
      </c>
      <c r="P165" t="s">
        <v>385</v>
      </c>
      <c r="Q165">
        <v>14.5</v>
      </c>
    </row>
    <row r="166" spans="1:17" x14ac:dyDescent="0.25">
      <c r="A166">
        <v>2025</v>
      </c>
      <c r="B166" t="s">
        <v>349</v>
      </c>
      <c r="C166" t="s">
        <v>382</v>
      </c>
      <c r="D166" t="s">
        <v>353</v>
      </c>
      <c r="E166">
        <v>6.2</v>
      </c>
      <c r="F166">
        <v>8</v>
      </c>
      <c r="G166" t="s">
        <v>337</v>
      </c>
      <c r="H166" t="s">
        <v>73</v>
      </c>
      <c r="I166">
        <v>15.8</v>
      </c>
      <c r="J166">
        <v>12</v>
      </c>
      <c r="K166">
        <v>14.1</v>
      </c>
      <c r="L166">
        <v>20</v>
      </c>
      <c r="M166">
        <v>331</v>
      </c>
      <c r="N166">
        <v>3</v>
      </c>
      <c r="O166">
        <v>5</v>
      </c>
      <c r="P166" t="s">
        <v>383</v>
      </c>
      <c r="Q166">
        <v>14.1</v>
      </c>
    </row>
    <row r="167" spans="1:17" x14ac:dyDescent="0.25">
      <c r="A167">
        <v>2025</v>
      </c>
      <c r="B167" t="s">
        <v>349</v>
      </c>
      <c r="C167" t="s">
        <v>384</v>
      </c>
      <c r="D167" t="s">
        <v>353</v>
      </c>
      <c r="E167">
        <v>6.2</v>
      </c>
      <c r="F167">
        <v>8</v>
      </c>
      <c r="G167" t="s">
        <v>337</v>
      </c>
      <c r="H167" t="s">
        <v>73</v>
      </c>
      <c r="I167">
        <v>17.100000000000001</v>
      </c>
      <c r="J167">
        <v>14</v>
      </c>
      <c r="K167">
        <v>15.7</v>
      </c>
      <c r="L167">
        <v>18</v>
      </c>
      <c r="M167">
        <v>368</v>
      </c>
      <c r="N167">
        <v>2</v>
      </c>
      <c r="O167">
        <v>5</v>
      </c>
      <c r="P167" t="s">
        <v>385</v>
      </c>
      <c r="Q167">
        <v>15.7</v>
      </c>
    </row>
    <row r="168" spans="1:17" x14ac:dyDescent="0.25">
      <c r="A168">
        <v>2025</v>
      </c>
      <c r="B168" t="s">
        <v>349</v>
      </c>
      <c r="C168" t="s">
        <v>391</v>
      </c>
      <c r="D168" t="s">
        <v>353</v>
      </c>
      <c r="E168">
        <v>3</v>
      </c>
      <c r="F168">
        <v>6</v>
      </c>
      <c r="G168" t="s">
        <v>337</v>
      </c>
      <c r="H168" t="s">
        <v>381</v>
      </c>
      <c r="I168">
        <v>11.7</v>
      </c>
      <c r="J168">
        <v>10.3</v>
      </c>
      <c r="K168">
        <v>11.1</v>
      </c>
      <c r="L168">
        <v>25</v>
      </c>
      <c r="M168">
        <v>298</v>
      </c>
      <c r="N168">
        <v>4</v>
      </c>
      <c r="O168">
        <v>4</v>
      </c>
      <c r="P168" t="s">
        <v>392</v>
      </c>
      <c r="Q168">
        <v>11.1</v>
      </c>
    </row>
    <row r="169" spans="1:17" x14ac:dyDescent="0.25">
      <c r="A169">
        <v>2025</v>
      </c>
      <c r="B169" t="s">
        <v>349</v>
      </c>
      <c r="C169" t="s">
        <v>391</v>
      </c>
      <c r="D169" t="s">
        <v>353</v>
      </c>
      <c r="E169">
        <v>6.2</v>
      </c>
      <c r="F169">
        <v>8</v>
      </c>
      <c r="G169" t="s">
        <v>337</v>
      </c>
      <c r="H169" t="s">
        <v>73</v>
      </c>
      <c r="I169">
        <v>17.100000000000001</v>
      </c>
      <c r="J169">
        <v>14.1</v>
      </c>
      <c r="K169">
        <v>15.7</v>
      </c>
      <c r="L169">
        <v>18</v>
      </c>
      <c r="M169">
        <v>370</v>
      </c>
      <c r="N169">
        <v>2</v>
      </c>
      <c r="O169">
        <v>5</v>
      </c>
      <c r="P169" t="s">
        <v>392</v>
      </c>
      <c r="Q169">
        <v>15.7</v>
      </c>
    </row>
    <row r="170" spans="1:17" x14ac:dyDescent="0.25">
      <c r="A170">
        <v>2025</v>
      </c>
      <c r="B170" t="s">
        <v>349</v>
      </c>
      <c r="C170" t="s">
        <v>393</v>
      </c>
      <c r="D170" t="s">
        <v>83</v>
      </c>
      <c r="E170">
        <v>5.3</v>
      </c>
      <c r="F170">
        <v>8</v>
      </c>
      <c r="G170" t="s">
        <v>337</v>
      </c>
      <c r="H170" t="s">
        <v>105</v>
      </c>
      <c r="I170">
        <v>15.7</v>
      </c>
      <c r="J170">
        <v>12</v>
      </c>
      <c r="K170">
        <v>14</v>
      </c>
      <c r="L170">
        <v>20</v>
      </c>
      <c r="M170">
        <v>329</v>
      </c>
      <c r="N170">
        <v>3</v>
      </c>
      <c r="O170">
        <v>6</v>
      </c>
      <c r="P170" t="s">
        <v>394</v>
      </c>
      <c r="Q170">
        <v>14</v>
      </c>
    </row>
    <row r="171" spans="1:17" x14ac:dyDescent="0.25">
      <c r="A171">
        <v>2025</v>
      </c>
      <c r="B171" t="s">
        <v>349</v>
      </c>
      <c r="C171" t="s">
        <v>395</v>
      </c>
      <c r="D171" t="s">
        <v>83</v>
      </c>
      <c r="E171">
        <v>3</v>
      </c>
      <c r="F171">
        <v>6</v>
      </c>
      <c r="G171" t="s">
        <v>337</v>
      </c>
      <c r="H171" t="s">
        <v>381</v>
      </c>
      <c r="I171">
        <v>11.5</v>
      </c>
      <c r="J171">
        <v>9.6999999999999993</v>
      </c>
      <c r="K171">
        <v>10.7</v>
      </c>
      <c r="L171">
        <v>26</v>
      </c>
      <c r="M171">
        <v>287</v>
      </c>
      <c r="N171">
        <v>4</v>
      </c>
      <c r="O171">
        <v>4</v>
      </c>
      <c r="P171" t="s">
        <v>396</v>
      </c>
      <c r="Q171">
        <v>10.7</v>
      </c>
    </row>
    <row r="172" spans="1:17" x14ac:dyDescent="0.25">
      <c r="A172">
        <v>2025</v>
      </c>
      <c r="B172" t="s">
        <v>349</v>
      </c>
      <c r="C172" t="s">
        <v>395</v>
      </c>
      <c r="D172" t="s">
        <v>83</v>
      </c>
      <c r="E172">
        <v>5.3</v>
      </c>
      <c r="F172">
        <v>8</v>
      </c>
      <c r="G172" t="s">
        <v>337</v>
      </c>
      <c r="H172" t="s">
        <v>105</v>
      </c>
      <c r="I172">
        <v>17.100000000000001</v>
      </c>
      <c r="J172">
        <v>12.6</v>
      </c>
      <c r="K172">
        <v>15.1</v>
      </c>
      <c r="L172">
        <v>19</v>
      </c>
      <c r="M172">
        <v>353</v>
      </c>
      <c r="N172">
        <v>3</v>
      </c>
      <c r="O172">
        <v>6</v>
      </c>
      <c r="P172" t="s">
        <v>396</v>
      </c>
      <c r="Q172">
        <v>15.1</v>
      </c>
    </row>
    <row r="173" spans="1:17" x14ac:dyDescent="0.25">
      <c r="A173">
        <v>2025</v>
      </c>
      <c r="B173" t="s">
        <v>349</v>
      </c>
      <c r="C173" t="s">
        <v>395</v>
      </c>
      <c r="D173" t="s">
        <v>83</v>
      </c>
      <c r="E173">
        <v>6.2</v>
      </c>
      <c r="F173">
        <v>8</v>
      </c>
      <c r="G173" t="s">
        <v>337</v>
      </c>
      <c r="H173" t="s">
        <v>73</v>
      </c>
      <c r="I173">
        <v>16.600000000000001</v>
      </c>
      <c r="J173">
        <v>13</v>
      </c>
      <c r="K173">
        <v>15</v>
      </c>
      <c r="L173">
        <v>19</v>
      </c>
      <c r="M173">
        <v>352</v>
      </c>
      <c r="N173">
        <v>3</v>
      </c>
      <c r="O173">
        <v>5</v>
      </c>
      <c r="P173" t="s">
        <v>396</v>
      </c>
      <c r="Q173">
        <v>15</v>
      </c>
    </row>
    <row r="174" spans="1:17" x14ac:dyDescent="0.25">
      <c r="A174">
        <v>2025</v>
      </c>
      <c r="B174" t="s">
        <v>349</v>
      </c>
      <c r="C174" t="s">
        <v>397</v>
      </c>
      <c r="D174" t="s">
        <v>83</v>
      </c>
      <c r="E174">
        <v>5.3</v>
      </c>
      <c r="F174">
        <v>8</v>
      </c>
      <c r="G174" t="s">
        <v>337</v>
      </c>
      <c r="H174" t="s">
        <v>105</v>
      </c>
      <c r="I174">
        <v>15.7</v>
      </c>
      <c r="J174">
        <v>12</v>
      </c>
      <c r="K174">
        <v>14</v>
      </c>
      <c r="L174">
        <v>20</v>
      </c>
      <c r="M174">
        <v>329</v>
      </c>
      <c r="N174">
        <v>3</v>
      </c>
      <c r="O174">
        <v>6</v>
      </c>
      <c r="P174" t="s">
        <v>398</v>
      </c>
      <c r="Q174">
        <v>14</v>
      </c>
    </row>
    <row r="175" spans="1:17" x14ac:dyDescent="0.25">
      <c r="A175">
        <v>2025</v>
      </c>
      <c r="B175" t="s">
        <v>349</v>
      </c>
      <c r="C175" t="s">
        <v>399</v>
      </c>
      <c r="D175" t="s">
        <v>83</v>
      </c>
      <c r="E175">
        <v>3</v>
      </c>
      <c r="F175">
        <v>6</v>
      </c>
      <c r="G175" t="s">
        <v>337</v>
      </c>
      <c r="H175" t="s">
        <v>381</v>
      </c>
      <c r="I175">
        <v>11.5</v>
      </c>
      <c r="J175">
        <v>9.6999999999999993</v>
      </c>
      <c r="K175">
        <v>10.7</v>
      </c>
      <c r="L175">
        <v>26</v>
      </c>
      <c r="M175">
        <v>287</v>
      </c>
      <c r="N175">
        <v>4</v>
      </c>
      <c r="O175">
        <v>4</v>
      </c>
      <c r="P175" t="s">
        <v>400</v>
      </c>
      <c r="Q175">
        <v>10.7</v>
      </c>
    </row>
    <row r="176" spans="1:17" x14ac:dyDescent="0.25">
      <c r="A176">
        <v>2025</v>
      </c>
      <c r="B176" t="s">
        <v>349</v>
      </c>
      <c r="C176" t="s">
        <v>399</v>
      </c>
      <c r="D176" t="s">
        <v>83</v>
      </c>
      <c r="E176">
        <v>5.3</v>
      </c>
      <c r="F176">
        <v>8</v>
      </c>
      <c r="G176" t="s">
        <v>337</v>
      </c>
      <c r="H176" t="s">
        <v>105</v>
      </c>
      <c r="I176">
        <v>15.9</v>
      </c>
      <c r="J176">
        <v>12.5</v>
      </c>
      <c r="K176">
        <v>14.4</v>
      </c>
      <c r="L176">
        <v>20</v>
      </c>
      <c r="M176">
        <v>337</v>
      </c>
      <c r="N176">
        <v>3</v>
      </c>
      <c r="O176">
        <v>6</v>
      </c>
      <c r="P176" t="s">
        <v>400</v>
      </c>
      <c r="Q176">
        <v>14.4</v>
      </c>
    </row>
    <row r="177" spans="1:17" x14ac:dyDescent="0.25">
      <c r="A177">
        <v>2025</v>
      </c>
      <c r="B177" t="s">
        <v>349</v>
      </c>
      <c r="C177" t="s">
        <v>399</v>
      </c>
      <c r="D177" t="s">
        <v>83</v>
      </c>
      <c r="E177">
        <v>6.2</v>
      </c>
      <c r="F177">
        <v>8</v>
      </c>
      <c r="G177" t="s">
        <v>337</v>
      </c>
      <c r="H177" t="s">
        <v>73</v>
      </c>
      <c r="I177">
        <v>16.600000000000001</v>
      </c>
      <c r="J177">
        <v>13</v>
      </c>
      <c r="K177">
        <v>15</v>
      </c>
      <c r="L177">
        <v>19</v>
      </c>
      <c r="M177">
        <v>352</v>
      </c>
      <c r="N177">
        <v>3</v>
      </c>
      <c r="O177">
        <v>5</v>
      </c>
      <c r="P177" t="s">
        <v>400</v>
      </c>
      <c r="Q177">
        <v>15</v>
      </c>
    </row>
    <row r="178" spans="1:17" x14ac:dyDescent="0.25">
      <c r="A178">
        <v>2025</v>
      </c>
      <c r="B178" t="s">
        <v>349</v>
      </c>
      <c r="C178" t="s">
        <v>401</v>
      </c>
      <c r="D178" t="s">
        <v>79</v>
      </c>
      <c r="E178">
        <v>1.2</v>
      </c>
      <c r="F178">
        <v>3</v>
      </c>
      <c r="G178" t="s">
        <v>309</v>
      </c>
      <c r="H178" t="s">
        <v>105</v>
      </c>
      <c r="I178">
        <v>7.8</v>
      </c>
      <c r="J178">
        <v>7.7</v>
      </c>
      <c r="K178">
        <v>7.8</v>
      </c>
      <c r="L178">
        <v>36</v>
      </c>
      <c r="M178">
        <v>183</v>
      </c>
      <c r="N178">
        <v>6</v>
      </c>
      <c r="O178">
        <v>6</v>
      </c>
      <c r="P178" t="s">
        <v>402</v>
      </c>
      <c r="Q178">
        <v>7.8</v>
      </c>
    </row>
    <row r="179" spans="1:17" x14ac:dyDescent="0.25">
      <c r="A179">
        <v>2025</v>
      </c>
      <c r="B179" t="s">
        <v>349</v>
      </c>
      <c r="C179" t="s">
        <v>401</v>
      </c>
      <c r="D179" t="s">
        <v>79</v>
      </c>
      <c r="E179">
        <v>1.2</v>
      </c>
      <c r="F179">
        <v>3</v>
      </c>
      <c r="G179" t="s">
        <v>309</v>
      </c>
      <c r="H179" t="s">
        <v>390</v>
      </c>
      <c r="I179">
        <v>10.7</v>
      </c>
      <c r="J179">
        <v>10.199999999999999</v>
      </c>
      <c r="K179">
        <v>10.5</v>
      </c>
      <c r="L179">
        <v>27</v>
      </c>
      <c r="M179">
        <v>175</v>
      </c>
      <c r="N179">
        <v>6</v>
      </c>
      <c r="O179">
        <v>6</v>
      </c>
      <c r="P179" t="s">
        <v>402</v>
      </c>
      <c r="Q179">
        <v>10.5</v>
      </c>
    </row>
    <row r="180" spans="1:17" x14ac:dyDescent="0.25">
      <c r="A180">
        <v>2025</v>
      </c>
      <c r="B180" t="s">
        <v>349</v>
      </c>
      <c r="C180" t="s">
        <v>401</v>
      </c>
      <c r="D180" t="s">
        <v>79</v>
      </c>
      <c r="E180">
        <v>1.3</v>
      </c>
      <c r="F180">
        <v>3</v>
      </c>
      <c r="G180" t="s">
        <v>309</v>
      </c>
      <c r="H180" t="s">
        <v>105</v>
      </c>
      <c r="I180">
        <v>8.1</v>
      </c>
      <c r="J180">
        <v>7.2</v>
      </c>
      <c r="K180">
        <v>7.7</v>
      </c>
      <c r="L180">
        <v>37</v>
      </c>
      <c r="M180">
        <v>181</v>
      </c>
      <c r="N180">
        <v>6</v>
      </c>
      <c r="O180">
        <v>6</v>
      </c>
      <c r="P180" t="s">
        <v>402</v>
      </c>
      <c r="Q180">
        <v>7.7</v>
      </c>
    </row>
    <row r="181" spans="1:17" x14ac:dyDescent="0.25">
      <c r="A181">
        <v>2025</v>
      </c>
      <c r="B181" t="s">
        <v>349</v>
      </c>
      <c r="C181" t="s">
        <v>403</v>
      </c>
      <c r="D181" t="s">
        <v>79</v>
      </c>
      <c r="E181">
        <v>1.3</v>
      </c>
      <c r="F181">
        <v>3</v>
      </c>
      <c r="G181" t="s">
        <v>104</v>
      </c>
      <c r="H181" t="s">
        <v>105</v>
      </c>
      <c r="I181">
        <v>9.1</v>
      </c>
      <c r="J181">
        <v>8.1</v>
      </c>
      <c r="K181">
        <v>8.6999999999999993</v>
      </c>
      <c r="L181">
        <v>32</v>
      </c>
      <c r="M181">
        <v>204</v>
      </c>
      <c r="N181">
        <v>5</v>
      </c>
      <c r="O181">
        <v>6</v>
      </c>
      <c r="P181" t="s">
        <v>404</v>
      </c>
      <c r="Q181">
        <v>8.6999999999999993</v>
      </c>
    </row>
    <row r="182" spans="1:17" x14ac:dyDescent="0.25">
      <c r="A182">
        <v>2025</v>
      </c>
      <c r="B182" t="s">
        <v>349</v>
      </c>
      <c r="C182" t="s">
        <v>405</v>
      </c>
      <c r="D182" t="s">
        <v>83</v>
      </c>
      <c r="E182">
        <v>2.5</v>
      </c>
      <c r="F182">
        <v>4</v>
      </c>
      <c r="G182" t="s">
        <v>97</v>
      </c>
      <c r="H182" t="s">
        <v>105</v>
      </c>
      <c r="I182">
        <v>12.3</v>
      </c>
      <c r="J182">
        <v>9.9</v>
      </c>
      <c r="K182">
        <v>11.2</v>
      </c>
      <c r="L182">
        <v>25</v>
      </c>
      <c r="M182">
        <v>262</v>
      </c>
      <c r="N182">
        <v>4</v>
      </c>
      <c r="O182">
        <v>5</v>
      </c>
      <c r="P182" t="s">
        <v>406</v>
      </c>
      <c r="Q182">
        <v>11.2</v>
      </c>
    </row>
    <row r="183" spans="1:17" x14ac:dyDescent="0.25">
      <c r="A183">
        <v>2025</v>
      </c>
      <c r="B183" t="s">
        <v>349</v>
      </c>
      <c r="C183" t="s">
        <v>407</v>
      </c>
      <c r="D183" t="s">
        <v>124</v>
      </c>
      <c r="E183">
        <v>1.2</v>
      </c>
      <c r="F183">
        <v>3</v>
      </c>
      <c r="G183" t="s">
        <v>317</v>
      </c>
      <c r="H183" t="s">
        <v>105</v>
      </c>
      <c r="I183">
        <v>8.5</v>
      </c>
      <c r="J183">
        <v>7.6</v>
      </c>
      <c r="K183">
        <v>8.1</v>
      </c>
      <c r="L183">
        <v>35</v>
      </c>
      <c r="M183">
        <v>190</v>
      </c>
      <c r="N183">
        <v>6</v>
      </c>
      <c r="O183">
        <v>6</v>
      </c>
      <c r="P183" t="s">
        <v>408</v>
      </c>
      <c r="Q183">
        <v>8.1</v>
      </c>
    </row>
    <row r="184" spans="1:17" x14ac:dyDescent="0.25">
      <c r="A184">
        <v>2025</v>
      </c>
      <c r="B184" t="s">
        <v>409</v>
      </c>
      <c r="C184" t="s">
        <v>410</v>
      </c>
      <c r="D184" t="s">
        <v>411</v>
      </c>
      <c r="E184">
        <v>3.6</v>
      </c>
      <c r="F184">
        <v>6</v>
      </c>
      <c r="G184" t="s">
        <v>104</v>
      </c>
      <c r="H184" t="s">
        <v>105</v>
      </c>
      <c r="I184">
        <v>12.4</v>
      </c>
      <c r="J184">
        <v>8.4</v>
      </c>
      <c r="K184">
        <v>10.6</v>
      </c>
      <c r="L184">
        <v>27</v>
      </c>
      <c r="M184">
        <v>249</v>
      </c>
      <c r="N184">
        <v>5</v>
      </c>
      <c r="O184">
        <v>6</v>
      </c>
      <c r="P184" t="s">
        <v>412</v>
      </c>
      <c r="Q184">
        <v>10.6</v>
      </c>
    </row>
    <row r="185" spans="1:17" x14ac:dyDescent="0.25">
      <c r="A185">
        <v>2025</v>
      </c>
      <c r="B185" t="s">
        <v>409</v>
      </c>
      <c r="C185" t="s">
        <v>413</v>
      </c>
      <c r="D185" t="s">
        <v>411</v>
      </c>
      <c r="E185">
        <v>3.6</v>
      </c>
      <c r="F185">
        <v>6</v>
      </c>
      <c r="G185" t="s">
        <v>104</v>
      </c>
      <c r="H185" t="s">
        <v>105</v>
      </c>
      <c r="I185">
        <v>12.4</v>
      </c>
      <c r="J185">
        <v>8.4</v>
      </c>
      <c r="K185">
        <v>10.6</v>
      </c>
      <c r="L185">
        <v>27</v>
      </c>
      <c r="M185">
        <v>249</v>
      </c>
      <c r="N185">
        <v>5</v>
      </c>
      <c r="O185">
        <v>6</v>
      </c>
      <c r="P185" t="s">
        <v>414</v>
      </c>
      <c r="Q185">
        <v>10.6</v>
      </c>
    </row>
    <row r="186" spans="1:17" x14ac:dyDescent="0.25">
      <c r="A186">
        <v>2025</v>
      </c>
      <c r="B186" t="s">
        <v>409</v>
      </c>
      <c r="C186" t="s">
        <v>415</v>
      </c>
      <c r="D186" t="s">
        <v>411</v>
      </c>
      <c r="E186">
        <v>3.6</v>
      </c>
      <c r="F186">
        <v>6</v>
      </c>
      <c r="G186" t="s">
        <v>104</v>
      </c>
      <c r="H186" t="s">
        <v>105</v>
      </c>
      <c r="I186">
        <v>14.1</v>
      </c>
      <c r="J186">
        <v>9.4</v>
      </c>
      <c r="K186">
        <v>12</v>
      </c>
      <c r="L186">
        <v>24</v>
      </c>
      <c r="M186">
        <v>279</v>
      </c>
      <c r="N186">
        <v>4</v>
      </c>
      <c r="O186">
        <v>6</v>
      </c>
      <c r="P186" t="s">
        <v>416</v>
      </c>
      <c r="Q186">
        <v>12</v>
      </c>
    </row>
    <row r="187" spans="1:17" x14ac:dyDescent="0.25">
      <c r="A187">
        <v>2025</v>
      </c>
      <c r="B187" t="s">
        <v>417</v>
      </c>
      <c r="C187" t="s">
        <v>418</v>
      </c>
      <c r="D187" t="s">
        <v>83</v>
      </c>
      <c r="E187">
        <v>3.6</v>
      </c>
      <c r="F187">
        <v>6</v>
      </c>
      <c r="G187" t="s">
        <v>97</v>
      </c>
      <c r="H187" t="s">
        <v>105</v>
      </c>
      <c r="I187">
        <v>13.5</v>
      </c>
      <c r="J187">
        <v>10</v>
      </c>
      <c r="K187">
        <v>11.9</v>
      </c>
      <c r="L187">
        <v>24</v>
      </c>
      <c r="M187">
        <v>280</v>
      </c>
      <c r="N187">
        <v>4</v>
      </c>
      <c r="O187">
        <v>6</v>
      </c>
      <c r="P187" t="s">
        <v>419</v>
      </c>
      <c r="Q187">
        <v>11.9</v>
      </c>
    </row>
    <row r="188" spans="1:17" x14ac:dyDescent="0.25">
      <c r="A188">
        <v>2025</v>
      </c>
      <c r="B188" t="s">
        <v>417</v>
      </c>
      <c r="C188" t="s">
        <v>418</v>
      </c>
      <c r="D188" t="s">
        <v>83</v>
      </c>
      <c r="E188">
        <v>5.7</v>
      </c>
      <c r="F188">
        <v>8</v>
      </c>
      <c r="G188" t="s">
        <v>97</v>
      </c>
      <c r="H188" t="s">
        <v>105</v>
      </c>
      <c r="I188">
        <v>16.7</v>
      </c>
      <c r="J188">
        <v>10.9</v>
      </c>
      <c r="K188">
        <v>14.1</v>
      </c>
      <c r="L188">
        <v>20</v>
      </c>
      <c r="M188">
        <v>331</v>
      </c>
      <c r="N188">
        <v>3</v>
      </c>
      <c r="O188">
        <v>4</v>
      </c>
      <c r="P188" t="s">
        <v>419</v>
      </c>
      <c r="Q188">
        <v>14.1</v>
      </c>
    </row>
    <row r="189" spans="1:17" x14ac:dyDescent="0.25">
      <c r="A189">
        <v>2025</v>
      </c>
      <c r="B189" t="s">
        <v>417</v>
      </c>
      <c r="C189" t="s">
        <v>420</v>
      </c>
      <c r="D189" t="s">
        <v>83</v>
      </c>
      <c r="E189">
        <v>6.2</v>
      </c>
      <c r="F189">
        <v>8</v>
      </c>
      <c r="G189" t="s">
        <v>97</v>
      </c>
      <c r="H189" t="s">
        <v>73</v>
      </c>
      <c r="I189">
        <v>20.5</v>
      </c>
      <c r="J189">
        <v>13.8</v>
      </c>
      <c r="K189">
        <v>17.399999999999999</v>
      </c>
      <c r="L189">
        <v>16</v>
      </c>
      <c r="M189">
        <v>410</v>
      </c>
      <c r="N189">
        <v>1</v>
      </c>
      <c r="O189">
        <v>1</v>
      </c>
      <c r="P189" t="s">
        <v>421</v>
      </c>
      <c r="Q189">
        <v>17.399999999999999</v>
      </c>
    </row>
    <row r="190" spans="1:17" x14ac:dyDescent="0.25">
      <c r="A190">
        <v>2025</v>
      </c>
      <c r="B190" t="s">
        <v>417</v>
      </c>
      <c r="C190" t="s">
        <v>422</v>
      </c>
      <c r="D190" t="s">
        <v>79</v>
      </c>
      <c r="E190">
        <v>2</v>
      </c>
      <c r="F190">
        <v>4</v>
      </c>
      <c r="G190" t="s">
        <v>104</v>
      </c>
      <c r="H190" t="s">
        <v>105</v>
      </c>
      <c r="I190">
        <v>11.3</v>
      </c>
      <c r="J190">
        <v>8.1</v>
      </c>
      <c r="K190">
        <v>9.9</v>
      </c>
      <c r="L190">
        <v>29</v>
      </c>
      <c r="M190">
        <v>231</v>
      </c>
      <c r="N190">
        <v>5</v>
      </c>
      <c r="O190">
        <v>6</v>
      </c>
      <c r="P190" t="s">
        <v>423</v>
      </c>
      <c r="Q190">
        <v>9.9</v>
      </c>
    </row>
    <row r="191" spans="1:17" x14ac:dyDescent="0.25">
      <c r="A191">
        <v>2025</v>
      </c>
      <c r="B191" t="s">
        <v>424</v>
      </c>
      <c r="C191" t="s">
        <v>425</v>
      </c>
      <c r="D191" t="s">
        <v>114</v>
      </c>
      <c r="E191">
        <v>6.5</v>
      </c>
      <c r="F191">
        <v>12</v>
      </c>
      <c r="G191" t="s">
        <v>426</v>
      </c>
      <c r="H191" t="s">
        <v>73</v>
      </c>
      <c r="I191">
        <v>19.600000000000001</v>
      </c>
      <c r="J191">
        <v>12.7</v>
      </c>
      <c r="K191">
        <v>16.5</v>
      </c>
      <c r="L191">
        <v>17</v>
      </c>
      <c r="M191">
        <v>385</v>
      </c>
      <c r="N191">
        <v>2</v>
      </c>
      <c r="O191">
        <v>5</v>
      </c>
      <c r="P191" t="s">
        <v>427</v>
      </c>
      <c r="Q191">
        <v>16.5</v>
      </c>
    </row>
    <row r="192" spans="1:17" x14ac:dyDescent="0.25">
      <c r="A192">
        <v>2025</v>
      </c>
      <c r="B192" t="s">
        <v>424</v>
      </c>
      <c r="C192" t="s">
        <v>428</v>
      </c>
      <c r="D192" t="s">
        <v>114</v>
      </c>
      <c r="E192">
        <v>6.5</v>
      </c>
      <c r="F192">
        <v>12</v>
      </c>
      <c r="G192" t="s">
        <v>426</v>
      </c>
      <c r="H192" t="s">
        <v>73</v>
      </c>
      <c r="I192">
        <v>19.600000000000001</v>
      </c>
      <c r="J192">
        <v>13.5</v>
      </c>
      <c r="K192">
        <v>16.8</v>
      </c>
      <c r="L192">
        <v>17</v>
      </c>
      <c r="M192">
        <v>393</v>
      </c>
      <c r="N192">
        <v>2</v>
      </c>
      <c r="O192">
        <v>5</v>
      </c>
      <c r="P192" t="s">
        <v>429</v>
      </c>
      <c r="Q192">
        <v>16.8</v>
      </c>
    </row>
    <row r="193" spans="1:17" x14ac:dyDescent="0.25">
      <c r="A193">
        <v>2025</v>
      </c>
      <c r="B193" t="s">
        <v>424</v>
      </c>
      <c r="C193" t="s">
        <v>430</v>
      </c>
      <c r="D193" t="s">
        <v>114</v>
      </c>
      <c r="E193">
        <v>6.5</v>
      </c>
      <c r="F193">
        <v>12</v>
      </c>
      <c r="G193" t="s">
        <v>119</v>
      </c>
      <c r="H193" t="s">
        <v>73</v>
      </c>
      <c r="I193">
        <v>19.899999999999999</v>
      </c>
      <c r="J193">
        <v>14.8</v>
      </c>
      <c r="K193">
        <v>17.600000000000001</v>
      </c>
      <c r="L193">
        <v>16</v>
      </c>
      <c r="M193">
        <v>410</v>
      </c>
      <c r="N193">
        <v>1</v>
      </c>
      <c r="O193">
        <v>2</v>
      </c>
      <c r="P193" t="s">
        <v>431</v>
      </c>
      <c r="Q193">
        <v>17.600000000000001</v>
      </c>
    </row>
    <row r="194" spans="1:17" x14ac:dyDescent="0.25">
      <c r="A194">
        <v>2025</v>
      </c>
      <c r="B194" t="s">
        <v>424</v>
      </c>
      <c r="C194" t="s">
        <v>432</v>
      </c>
      <c r="D194" t="s">
        <v>83</v>
      </c>
      <c r="E194">
        <v>6.5</v>
      </c>
      <c r="F194">
        <v>12</v>
      </c>
      <c r="G194" t="s">
        <v>426</v>
      </c>
      <c r="H194" t="s">
        <v>73</v>
      </c>
      <c r="I194">
        <v>22</v>
      </c>
      <c r="J194">
        <v>15.3</v>
      </c>
      <c r="K194">
        <v>19</v>
      </c>
      <c r="L194">
        <v>15</v>
      </c>
      <c r="M194">
        <v>442</v>
      </c>
      <c r="N194">
        <v>1</v>
      </c>
      <c r="O194">
        <v>5</v>
      </c>
      <c r="P194" t="s">
        <v>433</v>
      </c>
      <c r="Q194">
        <v>19</v>
      </c>
    </row>
    <row r="195" spans="1:17" x14ac:dyDescent="0.25">
      <c r="A195">
        <v>2025</v>
      </c>
      <c r="B195" t="s">
        <v>424</v>
      </c>
      <c r="C195" t="s">
        <v>434</v>
      </c>
      <c r="D195" t="s">
        <v>109</v>
      </c>
      <c r="E195">
        <v>3.9</v>
      </c>
      <c r="F195">
        <v>8</v>
      </c>
      <c r="G195" t="s">
        <v>426</v>
      </c>
      <c r="H195" t="s">
        <v>73</v>
      </c>
      <c r="I195">
        <v>13.9</v>
      </c>
      <c r="J195">
        <v>10.5</v>
      </c>
      <c r="K195">
        <v>12.4</v>
      </c>
      <c r="L195">
        <v>23</v>
      </c>
      <c r="M195">
        <v>290</v>
      </c>
      <c r="N195">
        <v>4</v>
      </c>
      <c r="O195">
        <v>5</v>
      </c>
      <c r="P195" t="s">
        <v>435</v>
      </c>
      <c r="Q195">
        <v>12.4</v>
      </c>
    </row>
    <row r="196" spans="1:17" x14ac:dyDescent="0.25">
      <c r="A196">
        <v>2025</v>
      </c>
      <c r="B196" t="s">
        <v>436</v>
      </c>
      <c r="C196" t="s">
        <v>437</v>
      </c>
      <c r="D196" t="s">
        <v>79</v>
      </c>
      <c r="E196">
        <v>2.2999999999999998</v>
      </c>
      <c r="F196">
        <v>4</v>
      </c>
      <c r="G196" t="s">
        <v>80</v>
      </c>
      <c r="H196" t="s">
        <v>105</v>
      </c>
      <c r="I196">
        <v>12.9</v>
      </c>
      <c r="J196">
        <v>10.9</v>
      </c>
      <c r="K196">
        <v>12</v>
      </c>
      <c r="L196">
        <v>24</v>
      </c>
      <c r="M196">
        <v>289</v>
      </c>
      <c r="N196">
        <v>4</v>
      </c>
      <c r="O196">
        <v>6</v>
      </c>
      <c r="P196" t="s">
        <v>438</v>
      </c>
      <c r="Q196">
        <v>12</v>
      </c>
    </row>
    <row r="197" spans="1:17" x14ac:dyDescent="0.25">
      <c r="A197">
        <v>2025</v>
      </c>
      <c r="B197" t="s">
        <v>436</v>
      </c>
      <c r="C197" t="s">
        <v>437</v>
      </c>
      <c r="D197" t="s">
        <v>79</v>
      </c>
      <c r="E197">
        <v>2.2999999999999998</v>
      </c>
      <c r="F197">
        <v>4</v>
      </c>
      <c r="G197" t="s">
        <v>439</v>
      </c>
      <c r="H197" t="s">
        <v>105</v>
      </c>
      <c r="I197">
        <v>12.9</v>
      </c>
      <c r="J197">
        <v>11</v>
      </c>
      <c r="K197">
        <v>12.1</v>
      </c>
      <c r="L197">
        <v>23</v>
      </c>
      <c r="M197">
        <v>291</v>
      </c>
      <c r="N197">
        <v>4</v>
      </c>
      <c r="O197">
        <v>6</v>
      </c>
      <c r="P197" t="s">
        <v>438</v>
      </c>
      <c r="Q197">
        <v>12.1</v>
      </c>
    </row>
    <row r="198" spans="1:17" x14ac:dyDescent="0.25">
      <c r="A198">
        <v>2025</v>
      </c>
      <c r="B198" t="s">
        <v>436</v>
      </c>
      <c r="C198" t="s">
        <v>437</v>
      </c>
      <c r="D198" t="s">
        <v>79</v>
      </c>
      <c r="E198">
        <v>2.7</v>
      </c>
      <c r="F198">
        <v>6</v>
      </c>
      <c r="G198" t="s">
        <v>80</v>
      </c>
      <c r="H198" t="s">
        <v>105</v>
      </c>
      <c r="I198">
        <v>13.7</v>
      </c>
      <c r="J198">
        <v>13.1</v>
      </c>
      <c r="K198">
        <v>13.4</v>
      </c>
      <c r="L198">
        <v>21</v>
      </c>
      <c r="M198">
        <v>314</v>
      </c>
      <c r="N198">
        <v>4</v>
      </c>
      <c r="O198">
        <v>5</v>
      </c>
      <c r="P198" t="s">
        <v>438</v>
      </c>
      <c r="Q198">
        <v>13.4</v>
      </c>
    </row>
    <row r="199" spans="1:17" x14ac:dyDescent="0.25">
      <c r="A199">
        <v>2025</v>
      </c>
      <c r="B199" t="s">
        <v>436</v>
      </c>
      <c r="C199" t="s">
        <v>440</v>
      </c>
      <c r="D199" t="s">
        <v>79</v>
      </c>
      <c r="E199">
        <v>2.7</v>
      </c>
      <c r="F199">
        <v>6</v>
      </c>
      <c r="G199" t="s">
        <v>80</v>
      </c>
      <c r="H199" t="s">
        <v>105</v>
      </c>
      <c r="I199">
        <v>13.8</v>
      </c>
      <c r="J199">
        <v>12.7</v>
      </c>
      <c r="K199">
        <v>13.3</v>
      </c>
      <c r="L199">
        <v>21</v>
      </c>
      <c r="M199">
        <v>313</v>
      </c>
      <c r="N199">
        <v>4</v>
      </c>
      <c r="O199">
        <v>5</v>
      </c>
      <c r="P199" t="s">
        <v>441</v>
      </c>
      <c r="Q199">
        <v>13.3</v>
      </c>
    </row>
    <row r="200" spans="1:17" x14ac:dyDescent="0.25">
      <c r="A200">
        <v>2025</v>
      </c>
      <c r="B200" t="s">
        <v>436</v>
      </c>
      <c r="C200" t="s">
        <v>442</v>
      </c>
      <c r="D200" t="s">
        <v>79</v>
      </c>
      <c r="E200">
        <v>2.2999999999999998</v>
      </c>
      <c r="F200">
        <v>4</v>
      </c>
      <c r="G200" t="s">
        <v>80</v>
      </c>
      <c r="H200" t="s">
        <v>105</v>
      </c>
      <c r="I200">
        <v>14</v>
      </c>
      <c r="J200">
        <v>12.5</v>
      </c>
      <c r="K200">
        <v>13.3</v>
      </c>
      <c r="L200">
        <v>21</v>
      </c>
      <c r="M200">
        <v>321</v>
      </c>
      <c r="N200">
        <v>3</v>
      </c>
      <c r="O200">
        <v>6</v>
      </c>
      <c r="P200" t="s">
        <v>443</v>
      </c>
      <c r="Q200">
        <v>13.3</v>
      </c>
    </row>
    <row r="201" spans="1:17" x14ac:dyDescent="0.25">
      <c r="A201">
        <v>2025</v>
      </c>
      <c r="B201" t="s">
        <v>436</v>
      </c>
      <c r="C201" t="s">
        <v>442</v>
      </c>
      <c r="D201" t="s">
        <v>79</v>
      </c>
      <c r="E201">
        <v>2.2999999999999998</v>
      </c>
      <c r="F201">
        <v>4</v>
      </c>
      <c r="G201" t="s">
        <v>439</v>
      </c>
      <c r="H201" t="s">
        <v>105</v>
      </c>
      <c r="I201">
        <v>13.9</v>
      </c>
      <c r="J201">
        <v>12.9</v>
      </c>
      <c r="K201">
        <v>13.5</v>
      </c>
      <c r="L201">
        <v>21</v>
      </c>
      <c r="M201">
        <v>326</v>
      </c>
      <c r="N201">
        <v>3</v>
      </c>
      <c r="O201">
        <v>6</v>
      </c>
      <c r="P201" t="s">
        <v>443</v>
      </c>
      <c r="Q201">
        <v>13.5</v>
      </c>
    </row>
    <row r="202" spans="1:17" x14ac:dyDescent="0.25">
      <c r="A202">
        <v>2025</v>
      </c>
      <c r="B202" t="s">
        <v>436</v>
      </c>
      <c r="C202" t="s">
        <v>444</v>
      </c>
      <c r="D202" t="s">
        <v>83</v>
      </c>
      <c r="E202">
        <v>2.7</v>
      </c>
      <c r="F202">
        <v>6</v>
      </c>
      <c r="G202" t="s">
        <v>80</v>
      </c>
      <c r="H202" t="s">
        <v>105</v>
      </c>
      <c r="I202">
        <v>12.5</v>
      </c>
      <c r="J202">
        <v>11.4</v>
      </c>
      <c r="K202">
        <v>12</v>
      </c>
      <c r="L202">
        <v>24</v>
      </c>
      <c r="M202">
        <v>282</v>
      </c>
      <c r="N202">
        <v>4</v>
      </c>
      <c r="O202">
        <v>5</v>
      </c>
      <c r="P202" t="s">
        <v>445</v>
      </c>
      <c r="Q202">
        <v>12</v>
      </c>
    </row>
    <row r="203" spans="1:17" x14ac:dyDescent="0.25">
      <c r="A203">
        <v>2025</v>
      </c>
      <c r="B203" t="s">
        <v>436</v>
      </c>
      <c r="C203" t="s">
        <v>446</v>
      </c>
      <c r="D203" t="s">
        <v>79</v>
      </c>
      <c r="E203">
        <v>2.2999999999999998</v>
      </c>
      <c r="F203">
        <v>4</v>
      </c>
      <c r="G203" t="s">
        <v>80</v>
      </c>
      <c r="H203" t="s">
        <v>105</v>
      </c>
      <c r="I203">
        <v>13.8</v>
      </c>
      <c r="J203">
        <v>12.4</v>
      </c>
      <c r="K203">
        <v>13.2</v>
      </c>
      <c r="L203">
        <v>21</v>
      </c>
      <c r="M203">
        <v>310</v>
      </c>
      <c r="N203">
        <v>4</v>
      </c>
      <c r="O203">
        <v>6</v>
      </c>
      <c r="P203" t="s">
        <v>447</v>
      </c>
      <c r="Q203">
        <v>13.2</v>
      </c>
    </row>
    <row r="204" spans="1:17" x14ac:dyDescent="0.25">
      <c r="A204">
        <v>2025</v>
      </c>
      <c r="B204" t="s">
        <v>436</v>
      </c>
      <c r="C204" t="s">
        <v>446</v>
      </c>
      <c r="D204" t="s">
        <v>79</v>
      </c>
      <c r="E204">
        <v>2.2999999999999998</v>
      </c>
      <c r="F204">
        <v>4</v>
      </c>
      <c r="G204" t="s">
        <v>439</v>
      </c>
      <c r="H204" t="s">
        <v>105</v>
      </c>
      <c r="I204">
        <v>13.8</v>
      </c>
      <c r="J204">
        <v>12.4</v>
      </c>
      <c r="K204">
        <v>13.2</v>
      </c>
      <c r="L204">
        <v>21</v>
      </c>
      <c r="M204">
        <v>310</v>
      </c>
      <c r="N204">
        <v>4</v>
      </c>
      <c r="O204">
        <v>6</v>
      </c>
      <c r="P204" t="s">
        <v>447</v>
      </c>
      <c r="Q204">
        <v>13.2</v>
      </c>
    </row>
    <row r="205" spans="1:17" x14ac:dyDescent="0.25">
      <c r="A205">
        <v>2025</v>
      </c>
      <c r="B205" t="s">
        <v>436</v>
      </c>
      <c r="C205" t="s">
        <v>448</v>
      </c>
      <c r="D205" t="s">
        <v>79</v>
      </c>
      <c r="E205">
        <v>1.5</v>
      </c>
      <c r="F205">
        <v>3</v>
      </c>
      <c r="G205" t="s">
        <v>97</v>
      </c>
      <c r="H205" t="s">
        <v>105</v>
      </c>
      <c r="I205">
        <v>9.3000000000000007</v>
      </c>
      <c r="J205">
        <v>7.9</v>
      </c>
      <c r="K205">
        <v>8.6999999999999993</v>
      </c>
      <c r="L205">
        <v>32</v>
      </c>
      <c r="M205">
        <v>203</v>
      </c>
      <c r="N205">
        <v>5</v>
      </c>
      <c r="O205">
        <v>6</v>
      </c>
      <c r="P205" t="s">
        <v>449</v>
      </c>
      <c r="Q205">
        <v>8.6999999999999993</v>
      </c>
    </row>
    <row r="206" spans="1:17" x14ac:dyDescent="0.25">
      <c r="A206">
        <v>2025</v>
      </c>
      <c r="B206" t="s">
        <v>436</v>
      </c>
      <c r="C206" t="s">
        <v>448</v>
      </c>
      <c r="D206" t="s">
        <v>79</v>
      </c>
      <c r="E206">
        <v>2</v>
      </c>
      <c r="F206">
        <v>4</v>
      </c>
      <c r="G206" t="s">
        <v>142</v>
      </c>
      <c r="H206" t="s">
        <v>105</v>
      </c>
      <c r="I206">
        <v>11.2</v>
      </c>
      <c r="J206">
        <v>8.6999999999999993</v>
      </c>
      <c r="K206">
        <v>10.1</v>
      </c>
      <c r="L206">
        <v>28</v>
      </c>
      <c r="M206">
        <v>237</v>
      </c>
      <c r="N206">
        <v>5</v>
      </c>
      <c r="O206">
        <v>6</v>
      </c>
      <c r="P206" t="s">
        <v>449</v>
      </c>
      <c r="Q206">
        <v>10.1</v>
      </c>
    </row>
    <row r="207" spans="1:17" x14ac:dyDescent="0.25">
      <c r="A207">
        <v>2025</v>
      </c>
      <c r="B207" t="s">
        <v>436</v>
      </c>
      <c r="C207" t="s">
        <v>450</v>
      </c>
      <c r="D207" t="s">
        <v>79</v>
      </c>
      <c r="E207">
        <v>1.5</v>
      </c>
      <c r="F207">
        <v>3</v>
      </c>
      <c r="G207" t="s">
        <v>97</v>
      </c>
      <c r="H207" t="s">
        <v>105</v>
      </c>
      <c r="I207">
        <v>10.199999999999999</v>
      </c>
      <c r="J207">
        <v>9</v>
      </c>
      <c r="K207">
        <v>9.6999999999999993</v>
      </c>
      <c r="L207">
        <v>29</v>
      </c>
      <c r="M207">
        <v>228</v>
      </c>
      <c r="N207">
        <v>5</v>
      </c>
      <c r="O207">
        <v>6</v>
      </c>
      <c r="P207" t="s">
        <v>451</v>
      </c>
      <c r="Q207">
        <v>9.6999999999999993</v>
      </c>
    </row>
    <row r="208" spans="1:17" x14ac:dyDescent="0.25">
      <c r="A208">
        <v>2025</v>
      </c>
      <c r="B208" t="s">
        <v>436</v>
      </c>
      <c r="C208" t="s">
        <v>452</v>
      </c>
      <c r="D208" t="s">
        <v>79</v>
      </c>
      <c r="E208">
        <v>1.5</v>
      </c>
      <c r="F208">
        <v>3</v>
      </c>
      <c r="G208" t="s">
        <v>97</v>
      </c>
      <c r="H208" t="s">
        <v>105</v>
      </c>
      <c r="I208">
        <v>8.9</v>
      </c>
      <c r="J208">
        <v>6.9</v>
      </c>
      <c r="K208">
        <v>8</v>
      </c>
      <c r="L208">
        <v>35</v>
      </c>
      <c r="M208">
        <v>185</v>
      </c>
      <c r="N208">
        <v>6</v>
      </c>
      <c r="O208">
        <v>6</v>
      </c>
      <c r="P208" t="s">
        <v>453</v>
      </c>
      <c r="Q208">
        <v>8</v>
      </c>
    </row>
    <row r="209" spans="1:17" x14ac:dyDescent="0.25">
      <c r="A209">
        <v>2025</v>
      </c>
      <c r="B209" t="s">
        <v>436</v>
      </c>
      <c r="C209" t="s">
        <v>454</v>
      </c>
      <c r="D209" t="s">
        <v>79</v>
      </c>
      <c r="E209">
        <v>1.5</v>
      </c>
      <c r="F209">
        <v>3</v>
      </c>
      <c r="G209" t="s">
        <v>97</v>
      </c>
      <c r="H209" t="s">
        <v>105</v>
      </c>
      <c r="I209">
        <v>9.1999999999999993</v>
      </c>
      <c r="J209">
        <v>7.4</v>
      </c>
      <c r="K209">
        <v>8.4</v>
      </c>
      <c r="L209">
        <v>34</v>
      </c>
      <c r="M209">
        <v>196</v>
      </c>
      <c r="N209">
        <v>6</v>
      </c>
      <c r="O209">
        <v>6</v>
      </c>
      <c r="P209" t="s">
        <v>455</v>
      </c>
      <c r="Q209">
        <v>8.4</v>
      </c>
    </row>
    <row r="210" spans="1:17" x14ac:dyDescent="0.25">
      <c r="A210">
        <v>2025</v>
      </c>
      <c r="B210" t="s">
        <v>436</v>
      </c>
      <c r="C210" t="s">
        <v>454</v>
      </c>
      <c r="D210" t="s">
        <v>79</v>
      </c>
      <c r="E210">
        <v>2</v>
      </c>
      <c r="F210">
        <v>4</v>
      </c>
      <c r="G210" t="s">
        <v>97</v>
      </c>
      <c r="H210" t="s">
        <v>105</v>
      </c>
      <c r="I210">
        <v>10.199999999999999</v>
      </c>
      <c r="J210">
        <v>7.6</v>
      </c>
      <c r="K210">
        <v>9.1</v>
      </c>
      <c r="L210">
        <v>31</v>
      </c>
      <c r="M210">
        <v>213</v>
      </c>
      <c r="N210">
        <v>5</v>
      </c>
      <c r="O210">
        <v>6</v>
      </c>
      <c r="P210" t="s">
        <v>455</v>
      </c>
      <c r="Q210">
        <v>9.1</v>
      </c>
    </row>
    <row r="211" spans="1:17" x14ac:dyDescent="0.25">
      <c r="A211">
        <v>2025</v>
      </c>
      <c r="B211" t="s">
        <v>436</v>
      </c>
      <c r="C211" t="s">
        <v>456</v>
      </c>
      <c r="D211" t="s">
        <v>79</v>
      </c>
      <c r="E211">
        <v>2.5</v>
      </c>
      <c r="F211">
        <v>4</v>
      </c>
      <c r="G211" t="s">
        <v>309</v>
      </c>
      <c r="H211" t="s">
        <v>105</v>
      </c>
      <c r="I211">
        <v>5.6</v>
      </c>
      <c r="J211">
        <v>6.5</v>
      </c>
      <c r="K211">
        <v>6</v>
      </c>
      <c r="L211">
        <v>47</v>
      </c>
      <c r="M211">
        <v>140</v>
      </c>
      <c r="N211">
        <v>7</v>
      </c>
      <c r="O211">
        <v>7</v>
      </c>
      <c r="P211" t="s">
        <v>457</v>
      </c>
      <c r="Q211">
        <v>6</v>
      </c>
    </row>
    <row r="212" spans="1:17" x14ac:dyDescent="0.25">
      <c r="A212">
        <v>2025</v>
      </c>
      <c r="B212" t="s">
        <v>436</v>
      </c>
      <c r="C212" t="s">
        <v>458</v>
      </c>
      <c r="D212" t="s">
        <v>79</v>
      </c>
      <c r="E212">
        <v>2.5</v>
      </c>
      <c r="F212">
        <v>4</v>
      </c>
      <c r="G212" t="s">
        <v>309</v>
      </c>
      <c r="H212" t="s">
        <v>105</v>
      </c>
      <c r="I212">
        <v>5.6</v>
      </c>
      <c r="J212">
        <v>6.5</v>
      </c>
      <c r="K212">
        <v>6</v>
      </c>
      <c r="L212">
        <v>47</v>
      </c>
      <c r="M212">
        <v>140</v>
      </c>
      <c r="N212">
        <v>7</v>
      </c>
      <c r="O212">
        <v>7</v>
      </c>
      <c r="P212" t="s">
        <v>459</v>
      </c>
      <c r="Q212">
        <v>6</v>
      </c>
    </row>
    <row r="213" spans="1:17" x14ac:dyDescent="0.25">
      <c r="A213">
        <v>2025</v>
      </c>
      <c r="B213" t="s">
        <v>436</v>
      </c>
      <c r="C213" t="s">
        <v>460</v>
      </c>
      <c r="D213" t="s">
        <v>83</v>
      </c>
      <c r="E213">
        <v>3.5</v>
      </c>
      <c r="F213">
        <v>6</v>
      </c>
      <c r="G213" t="s">
        <v>80</v>
      </c>
      <c r="H213" t="s">
        <v>105</v>
      </c>
      <c r="I213">
        <v>15.4</v>
      </c>
      <c r="J213">
        <v>10.7</v>
      </c>
      <c r="K213">
        <v>13.3</v>
      </c>
      <c r="L213">
        <v>21</v>
      </c>
      <c r="M213">
        <v>312</v>
      </c>
      <c r="N213">
        <v>4</v>
      </c>
      <c r="O213">
        <v>6</v>
      </c>
      <c r="P213" t="s">
        <v>461</v>
      </c>
      <c r="Q213">
        <v>13.3</v>
      </c>
    </row>
    <row r="214" spans="1:17" x14ac:dyDescent="0.25">
      <c r="A214">
        <v>2025</v>
      </c>
      <c r="B214" t="s">
        <v>436</v>
      </c>
      <c r="C214" t="s">
        <v>462</v>
      </c>
      <c r="D214" t="s">
        <v>83</v>
      </c>
      <c r="E214">
        <v>2.2999999999999998</v>
      </c>
      <c r="F214">
        <v>4</v>
      </c>
      <c r="G214" t="s">
        <v>337</v>
      </c>
      <c r="H214" t="s">
        <v>105</v>
      </c>
      <c r="I214">
        <v>11.9</v>
      </c>
      <c r="J214">
        <v>8.6999999999999993</v>
      </c>
      <c r="K214">
        <v>10.4</v>
      </c>
      <c r="L214">
        <v>27</v>
      </c>
      <c r="M214">
        <v>245</v>
      </c>
      <c r="N214">
        <v>5</v>
      </c>
      <c r="O214">
        <v>6</v>
      </c>
      <c r="P214" t="s">
        <v>463</v>
      </c>
      <c r="Q214">
        <v>10.4</v>
      </c>
    </row>
    <row r="215" spans="1:17" x14ac:dyDescent="0.25">
      <c r="A215">
        <v>2025</v>
      </c>
      <c r="B215" t="s">
        <v>436</v>
      </c>
      <c r="C215" t="s">
        <v>462</v>
      </c>
      <c r="D215" t="s">
        <v>83</v>
      </c>
      <c r="E215">
        <v>3</v>
      </c>
      <c r="F215">
        <v>6</v>
      </c>
      <c r="G215" t="s">
        <v>337</v>
      </c>
      <c r="H215" t="s">
        <v>105</v>
      </c>
      <c r="I215">
        <v>13</v>
      </c>
      <c r="J215">
        <v>9.3000000000000007</v>
      </c>
      <c r="K215">
        <v>11.3</v>
      </c>
      <c r="L215">
        <v>25</v>
      </c>
      <c r="M215">
        <v>266</v>
      </c>
      <c r="N215">
        <v>4</v>
      </c>
      <c r="O215">
        <v>5</v>
      </c>
      <c r="P215" t="s">
        <v>463</v>
      </c>
      <c r="Q215">
        <v>11.3</v>
      </c>
    </row>
    <row r="216" spans="1:17" x14ac:dyDescent="0.25">
      <c r="A216">
        <v>2025</v>
      </c>
      <c r="B216" t="s">
        <v>436</v>
      </c>
      <c r="C216" t="s">
        <v>462</v>
      </c>
      <c r="D216" t="s">
        <v>83</v>
      </c>
      <c r="E216">
        <v>3</v>
      </c>
      <c r="F216">
        <v>6</v>
      </c>
      <c r="G216" t="s">
        <v>80</v>
      </c>
      <c r="H216" t="s">
        <v>105</v>
      </c>
      <c r="I216">
        <v>13.3</v>
      </c>
      <c r="J216">
        <v>9.6</v>
      </c>
      <c r="K216">
        <v>11.6</v>
      </c>
      <c r="L216">
        <v>24</v>
      </c>
      <c r="M216">
        <v>273</v>
      </c>
      <c r="N216">
        <v>4</v>
      </c>
      <c r="O216">
        <v>5</v>
      </c>
      <c r="P216" t="s">
        <v>463</v>
      </c>
      <c r="Q216">
        <v>11.6</v>
      </c>
    </row>
    <row r="217" spans="1:17" x14ac:dyDescent="0.25">
      <c r="A217">
        <v>2025</v>
      </c>
      <c r="B217" t="s">
        <v>436</v>
      </c>
      <c r="C217" t="s">
        <v>464</v>
      </c>
      <c r="D217" t="s">
        <v>353</v>
      </c>
      <c r="E217">
        <v>2.7</v>
      </c>
      <c r="F217">
        <v>6</v>
      </c>
      <c r="G217" t="s">
        <v>80</v>
      </c>
      <c r="H217" t="s">
        <v>105</v>
      </c>
      <c r="I217">
        <v>12.8</v>
      </c>
      <c r="J217">
        <v>9.5</v>
      </c>
      <c r="K217">
        <v>11.3</v>
      </c>
      <c r="L217">
        <v>25</v>
      </c>
      <c r="M217">
        <v>265</v>
      </c>
      <c r="N217">
        <v>4</v>
      </c>
      <c r="O217">
        <v>6</v>
      </c>
      <c r="P217" t="s">
        <v>465</v>
      </c>
      <c r="Q217">
        <v>11.3</v>
      </c>
    </row>
    <row r="218" spans="1:17" x14ac:dyDescent="0.25">
      <c r="A218">
        <v>2025</v>
      </c>
      <c r="B218" t="s">
        <v>436</v>
      </c>
      <c r="C218" t="s">
        <v>464</v>
      </c>
      <c r="D218" t="s">
        <v>353</v>
      </c>
      <c r="E218">
        <v>3.5</v>
      </c>
      <c r="F218">
        <v>6</v>
      </c>
      <c r="G218" t="s">
        <v>80</v>
      </c>
      <c r="H218" t="s">
        <v>105</v>
      </c>
      <c r="I218">
        <v>14.2</v>
      </c>
      <c r="J218">
        <v>9.6999999999999993</v>
      </c>
      <c r="K218">
        <v>12.2</v>
      </c>
      <c r="L218">
        <v>23</v>
      </c>
      <c r="M218">
        <v>286</v>
      </c>
      <c r="N218">
        <v>4</v>
      </c>
      <c r="O218">
        <v>6</v>
      </c>
      <c r="P218" t="s">
        <v>465</v>
      </c>
      <c r="Q218">
        <v>12.2</v>
      </c>
    </row>
    <row r="219" spans="1:17" x14ac:dyDescent="0.25">
      <c r="A219">
        <v>2025</v>
      </c>
      <c r="B219" t="s">
        <v>436</v>
      </c>
      <c r="C219" t="s">
        <v>464</v>
      </c>
      <c r="D219" t="s">
        <v>353</v>
      </c>
      <c r="E219">
        <v>5</v>
      </c>
      <c r="F219">
        <v>8</v>
      </c>
      <c r="G219" t="s">
        <v>80</v>
      </c>
      <c r="H219" t="s">
        <v>105</v>
      </c>
      <c r="I219">
        <v>14.5</v>
      </c>
      <c r="J219">
        <v>10.199999999999999</v>
      </c>
      <c r="K219">
        <v>12.6</v>
      </c>
      <c r="L219">
        <v>22</v>
      </c>
      <c r="M219">
        <v>295</v>
      </c>
      <c r="N219">
        <v>4</v>
      </c>
      <c r="O219">
        <v>5</v>
      </c>
      <c r="P219" t="s">
        <v>465</v>
      </c>
      <c r="Q219">
        <v>12.6</v>
      </c>
    </row>
    <row r="220" spans="1:17" x14ac:dyDescent="0.25">
      <c r="A220">
        <v>2025</v>
      </c>
      <c r="B220" t="s">
        <v>436</v>
      </c>
      <c r="C220" t="s">
        <v>466</v>
      </c>
      <c r="D220" t="s">
        <v>353</v>
      </c>
      <c r="E220">
        <v>2.7</v>
      </c>
      <c r="F220">
        <v>6</v>
      </c>
      <c r="G220" t="s">
        <v>80</v>
      </c>
      <c r="H220" t="s">
        <v>105</v>
      </c>
      <c r="I220">
        <v>13.1</v>
      </c>
      <c r="J220">
        <v>10.199999999999999</v>
      </c>
      <c r="K220">
        <v>11.8</v>
      </c>
      <c r="L220">
        <v>24</v>
      </c>
      <c r="M220">
        <v>277</v>
      </c>
      <c r="N220">
        <v>4</v>
      </c>
      <c r="O220">
        <v>6</v>
      </c>
      <c r="P220" t="s">
        <v>467</v>
      </c>
      <c r="Q220">
        <v>11.8</v>
      </c>
    </row>
    <row r="221" spans="1:17" x14ac:dyDescent="0.25">
      <c r="A221">
        <v>2025</v>
      </c>
      <c r="B221" t="s">
        <v>436</v>
      </c>
      <c r="C221" t="s">
        <v>466</v>
      </c>
      <c r="D221" t="s">
        <v>353</v>
      </c>
      <c r="E221">
        <v>3.5</v>
      </c>
      <c r="F221">
        <v>6</v>
      </c>
      <c r="G221" t="s">
        <v>80</v>
      </c>
      <c r="H221" t="s">
        <v>105</v>
      </c>
      <c r="I221">
        <v>14.5</v>
      </c>
      <c r="J221">
        <v>9.8000000000000007</v>
      </c>
      <c r="K221">
        <v>12.4</v>
      </c>
      <c r="L221">
        <v>23</v>
      </c>
      <c r="M221">
        <v>291</v>
      </c>
      <c r="N221">
        <v>4</v>
      </c>
      <c r="O221">
        <v>6</v>
      </c>
      <c r="P221" t="s">
        <v>467</v>
      </c>
      <c r="Q221">
        <v>12.4</v>
      </c>
    </row>
    <row r="222" spans="1:17" x14ac:dyDescent="0.25">
      <c r="A222">
        <v>2025</v>
      </c>
      <c r="B222" t="s">
        <v>436</v>
      </c>
      <c r="C222" t="s">
        <v>466</v>
      </c>
      <c r="D222" t="s">
        <v>353</v>
      </c>
      <c r="E222">
        <v>5</v>
      </c>
      <c r="F222">
        <v>8</v>
      </c>
      <c r="G222" t="s">
        <v>80</v>
      </c>
      <c r="H222" t="s">
        <v>105</v>
      </c>
      <c r="I222">
        <v>14.8</v>
      </c>
      <c r="J222">
        <v>10.3</v>
      </c>
      <c r="K222">
        <v>12.8</v>
      </c>
      <c r="L222">
        <v>22</v>
      </c>
      <c r="M222">
        <v>300</v>
      </c>
      <c r="N222">
        <v>4</v>
      </c>
      <c r="O222">
        <v>5</v>
      </c>
      <c r="P222" t="s">
        <v>467</v>
      </c>
      <c r="Q222">
        <v>12.8</v>
      </c>
    </row>
    <row r="223" spans="1:17" x14ac:dyDescent="0.25">
      <c r="A223">
        <v>2025</v>
      </c>
      <c r="B223" t="s">
        <v>436</v>
      </c>
      <c r="C223" t="s">
        <v>468</v>
      </c>
      <c r="D223" t="s">
        <v>353</v>
      </c>
      <c r="E223">
        <v>3.5</v>
      </c>
      <c r="F223">
        <v>6</v>
      </c>
      <c r="G223" t="s">
        <v>80</v>
      </c>
      <c r="H223" t="s">
        <v>105</v>
      </c>
      <c r="I223">
        <v>11.2</v>
      </c>
      <c r="J223">
        <v>10</v>
      </c>
      <c r="K223">
        <v>10.7</v>
      </c>
      <c r="L223">
        <v>26</v>
      </c>
      <c r="M223">
        <v>250</v>
      </c>
      <c r="N223">
        <v>5</v>
      </c>
      <c r="O223">
        <v>6</v>
      </c>
      <c r="P223" t="s">
        <v>469</v>
      </c>
      <c r="Q223">
        <v>10.7</v>
      </c>
    </row>
    <row r="224" spans="1:17" x14ac:dyDescent="0.25">
      <c r="A224">
        <v>2025</v>
      </c>
      <c r="B224" t="s">
        <v>436</v>
      </c>
      <c r="C224" t="s">
        <v>470</v>
      </c>
      <c r="D224" t="s">
        <v>353</v>
      </c>
      <c r="E224">
        <v>3.5</v>
      </c>
      <c r="F224">
        <v>6</v>
      </c>
      <c r="G224" t="s">
        <v>80</v>
      </c>
      <c r="H224" t="s">
        <v>105</v>
      </c>
      <c r="I224">
        <v>14.3</v>
      </c>
      <c r="J224">
        <v>11.2</v>
      </c>
      <c r="K224">
        <v>12.9</v>
      </c>
      <c r="L224">
        <v>22</v>
      </c>
      <c r="M224">
        <v>303</v>
      </c>
      <c r="N224">
        <v>4</v>
      </c>
      <c r="O224">
        <v>6</v>
      </c>
      <c r="P224" t="s">
        <v>471</v>
      </c>
      <c r="Q224">
        <v>12.9</v>
      </c>
    </row>
    <row r="225" spans="1:17" x14ac:dyDescent="0.25">
      <c r="A225">
        <v>2025</v>
      </c>
      <c r="B225" t="s">
        <v>436</v>
      </c>
      <c r="C225" t="s">
        <v>470</v>
      </c>
      <c r="D225" t="s">
        <v>353</v>
      </c>
      <c r="E225">
        <v>5</v>
      </c>
      <c r="F225">
        <v>8</v>
      </c>
      <c r="G225" t="s">
        <v>80</v>
      </c>
      <c r="H225" t="s">
        <v>105</v>
      </c>
      <c r="I225">
        <v>15.2</v>
      </c>
      <c r="J225">
        <v>11.9</v>
      </c>
      <c r="K225">
        <v>13.7</v>
      </c>
      <c r="L225">
        <v>21</v>
      </c>
      <c r="M225">
        <v>322</v>
      </c>
      <c r="N225">
        <v>3</v>
      </c>
      <c r="O225">
        <v>5</v>
      </c>
      <c r="P225" t="s">
        <v>471</v>
      </c>
      <c r="Q225">
        <v>13.7</v>
      </c>
    </row>
    <row r="226" spans="1:17" x14ac:dyDescent="0.25">
      <c r="A226">
        <v>2025</v>
      </c>
      <c r="B226" t="s">
        <v>436</v>
      </c>
      <c r="C226" t="s">
        <v>472</v>
      </c>
      <c r="D226" t="s">
        <v>353</v>
      </c>
      <c r="E226">
        <v>3.5</v>
      </c>
      <c r="F226">
        <v>6</v>
      </c>
      <c r="G226" t="s">
        <v>80</v>
      </c>
      <c r="H226" t="s">
        <v>105</v>
      </c>
      <c r="I226">
        <v>16.600000000000001</v>
      </c>
      <c r="J226">
        <v>13.1</v>
      </c>
      <c r="K226">
        <v>15</v>
      </c>
      <c r="L226">
        <v>19</v>
      </c>
      <c r="M226">
        <v>353</v>
      </c>
      <c r="N226">
        <v>3</v>
      </c>
      <c r="O226">
        <v>6</v>
      </c>
      <c r="P226" t="s">
        <v>473</v>
      </c>
      <c r="Q226">
        <v>15</v>
      </c>
    </row>
    <row r="227" spans="1:17" x14ac:dyDescent="0.25">
      <c r="A227">
        <v>2025</v>
      </c>
      <c r="B227" t="s">
        <v>436</v>
      </c>
      <c r="C227" t="s">
        <v>474</v>
      </c>
      <c r="D227" t="s">
        <v>353</v>
      </c>
      <c r="E227">
        <v>5.2</v>
      </c>
      <c r="F227">
        <v>8</v>
      </c>
      <c r="G227" t="s">
        <v>80</v>
      </c>
      <c r="H227" t="s">
        <v>73</v>
      </c>
      <c r="I227">
        <v>22.8</v>
      </c>
      <c r="J227">
        <v>15.9</v>
      </c>
      <c r="K227">
        <v>19.7</v>
      </c>
      <c r="L227">
        <v>14</v>
      </c>
      <c r="M227">
        <v>460</v>
      </c>
      <c r="N227">
        <v>1</v>
      </c>
      <c r="O227">
        <v>4</v>
      </c>
      <c r="P227" t="s">
        <v>475</v>
      </c>
      <c r="Q227">
        <v>19.7</v>
      </c>
    </row>
    <row r="228" spans="1:17" x14ac:dyDescent="0.25">
      <c r="A228">
        <v>2025</v>
      </c>
      <c r="B228" t="s">
        <v>436</v>
      </c>
      <c r="C228" t="s">
        <v>476</v>
      </c>
      <c r="D228" t="s">
        <v>477</v>
      </c>
      <c r="E228">
        <v>2</v>
      </c>
      <c r="F228">
        <v>4</v>
      </c>
      <c r="G228" t="s">
        <v>97</v>
      </c>
      <c r="H228" t="s">
        <v>105</v>
      </c>
      <c r="I228">
        <v>10.6</v>
      </c>
      <c r="J228">
        <v>7.8</v>
      </c>
      <c r="K228">
        <v>9.4</v>
      </c>
      <c r="L228">
        <v>30</v>
      </c>
      <c r="M228">
        <v>219</v>
      </c>
      <c r="N228">
        <v>5</v>
      </c>
      <c r="O228">
        <v>6</v>
      </c>
      <c r="P228" t="s">
        <v>478</v>
      </c>
      <c r="Q228">
        <v>9.4</v>
      </c>
    </row>
    <row r="229" spans="1:17" x14ac:dyDescent="0.25">
      <c r="A229">
        <v>2025</v>
      </c>
      <c r="B229" t="s">
        <v>436</v>
      </c>
      <c r="C229" t="s">
        <v>479</v>
      </c>
      <c r="D229" t="s">
        <v>477</v>
      </c>
      <c r="E229">
        <v>2</v>
      </c>
      <c r="F229">
        <v>4</v>
      </c>
      <c r="G229" t="s">
        <v>142</v>
      </c>
      <c r="H229" t="s">
        <v>105</v>
      </c>
      <c r="I229">
        <v>11.2</v>
      </c>
      <c r="J229">
        <v>7.8</v>
      </c>
      <c r="K229">
        <v>9.6999999999999993</v>
      </c>
      <c r="L229">
        <v>29</v>
      </c>
      <c r="M229">
        <v>227</v>
      </c>
      <c r="N229">
        <v>5</v>
      </c>
      <c r="O229">
        <v>6</v>
      </c>
      <c r="P229" t="s">
        <v>480</v>
      </c>
      <c r="Q229">
        <v>9.6999999999999993</v>
      </c>
    </row>
    <row r="230" spans="1:17" x14ac:dyDescent="0.25">
      <c r="A230">
        <v>2025</v>
      </c>
      <c r="B230" t="s">
        <v>436</v>
      </c>
      <c r="C230" t="s">
        <v>481</v>
      </c>
      <c r="D230" t="s">
        <v>477</v>
      </c>
      <c r="E230">
        <v>2</v>
      </c>
      <c r="F230">
        <v>4</v>
      </c>
      <c r="G230" t="s">
        <v>142</v>
      </c>
      <c r="H230" t="s">
        <v>105</v>
      </c>
      <c r="I230">
        <v>11.2</v>
      </c>
      <c r="J230">
        <v>8.6999999999999993</v>
      </c>
      <c r="K230">
        <v>10.1</v>
      </c>
      <c r="L230">
        <v>28</v>
      </c>
      <c r="M230">
        <v>237</v>
      </c>
      <c r="N230">
        <v>5</v>
      </c>
      <c r="O230">
        <v>6</v>
      </c>
      <c r="P230" t="s">
        <v>482</v>
      </c>
      <c r="Q230">
        <v>10.1</v>
      </c>
    </row>
    <row r="231" spans="1:17" x14ac:dyDescent="0.25">
      <c r="A231">
        <v>2025</v>
      </c>
      <c r="B231" t="s">
        <v>436</v>
      </c>
      <c r="C231" t="s">
        <v>483</v>
      </c>
      <c r="D231" t="s">
        <v>477</v>
      </c>
      <c r="E231">
        <v>2.5</v>
      </c>
      <c r="F231">
        <v>4</v>
      </c>
      <c r="G231" t="s">
        <v>309</v>
      </c>
      <c r="H231" t="s">
        <v>105</v>
      </c>
      <c r="I231">
        <v>5.6</v>
      </c>
      <c r="J231">
        <v>6.7</v>
      </c>
      <c r="K231">
        <v>6.2</v>
      </c>
      <c r="L231">
        <v>46</v>
      </c>
      <c r="M231">
        <v>145</v>
      </c>
      <c r="N231">
        <v>7</v>
      </c>
      <c r="O231">
        <v>7</v>
      </c>
      <c r="P231" t="s">
        <v>484</v>
      </c>
      <c r="Q231">
        <v>6.2</v>
      </c>
    </row>
    <row r="232" spans="1:17" x14ac:dyDescent="0.25">
      <c r="A232">
        <v>2025</v>
      </c>
      <c r="B232" t="s">
        <v>436</v>
      </c>
      <c r="C232" t="s">
        <v>485</v>
      </c>
      <c r="D232" t="s">
        <v>477</v>
      </c>
      <c r="E232">
        <v>2.5</v>
      </c>
      <c r="F232">
        <v>4</v>
      </c>
      <c r="G232" t="s">
        <v>309</v>
      </c>
      <c r="H232" t="s">
        <v>105</v>
      </c>
      <c r="I232">
        <v>5.8</v>
      </c>
      <c r="J232">
        <v>6.9</v>
      </c>
      <c r="K232">
        <v>6.3</v>
      </c>
      <c r="L232">
        <v>45</v>
      </c>
      <c r="M232">
        <v>148</v>
      </c>
      <c r="N232">
        <v>7</v>
      </c>
      <c r="O232">
        <v>7</v>
      </c>
      <c r="P232" t="s">
        <v>486</v>
      </c>
      <c r="Q232">
        <v>6.3</v>
      </c>
    </row>
    <row r="233" spans="1:17" x14ac:dyDescent="0.25">
      <c r="A233">
        <v>2025</v>
      </c>
      <c r="B233" t="s">
        <v>436</v>
      </c>
      <c r="C233" t="s">
        <v>487</v>
      </c>
      <c r="D233" t="s">
        <v>118</v>
      </c>
      <c r="E233">
        <v>2.2999999999999998</v>
      </c>
      <c r="F233">
        <v>4</v>
      </c>
      <c r="G233" t="s">
        <v>337</v>
      </c>
      <c r="H233" t="s">
        <v>105</v>
      </c>
      <c r="I233">
        <v>10.8</v>
      </c>
      <c r="J233">
        <v>7.1</v>
      </c>
      <c r="K233">
        <v>9.1999999999999993</v>
      </c>
      <c r="L233">
        <v>31</v>
      </c>
      <c r="M233">
        <v>215</v>
      </c>
      <c r="N233">
        <v>5</v>
      </c>
      <c r="O233">
        <v>6</v>
      </c>
      <c r="P233" t="s">
        <v>488</v>
      </c>
      <c r="Q233">
        <v>9.1999999999999993</v>
      </c>
    </row>
    <row r="234" spans="1:17" x14ac:dyDescent="0.25">
      <c r="A234">
        <v>2025</v>
      </c>
      <c r="B234" t="s">
        <v>436</v>
      </c>
      <c r="C234" t="s">
        <v>487</v>
      </c>
      <c r="D234" t="s">
        <v>118</v>
      </c>
      <c r="E234">
        <v>5</v>
      </c>
      <c r="F234">
        <v>8</v>
      </c>
      <c r="G234" t="s">
        <v>80</v>
      </c>
      <c r="H234" t="s">
        <v>105</v>
      </c>
      <c r="I234">
        <v>15.7</v>
      </c>
      <c r="J234">
        <v>10.4</v>
      </c>
      <c r="K234">
        <v>13.3</v>
      </c>
      <c r="L234">
        <v>21</v>
      </c>
      <c r="M234">
        <v>313</v>
      </c>
      <c r="N234">
        <v>4</v>
      </c>
      <c r="O234">
        <v>4</v>
      </c>
      <c r="P234" t="s">
        <v>488</v>
      </c>
      <c r="Q234">
        <v>13.3</v>
      </c>
    </row>
    <row r="235" spans="1:17" x14ac:dyDescent="0.25">
      <c r="A235">
        <v>2025</v>
      </c>
      <c r="B235" t="s">
        <v>436</v>
      </c>
      <c r="C235" t="s">
        <v>487</v>
      </c>
      <c r="D235" t="s">
        <v>118</v>
      </c>
      <c r="E235">
        <v>5</v>
      </c>
      <c r="F235">
        <v>8</v>
      </c>
      <c r="G235" t="s">
        <v>75</v>
      </c>
      <c r="H235" t="s">
        <v>105</v>
      </c>
      <c r="I235">
        <v>16.100000000000001</v>
      </c>
      <c r="J235">
        <v>10.8</v>
      </c>
      <c r="K235">
        <v>13.7</v>
      </c>
      <c r="L235">
        <v>21</v>
      </c>
      <c r="M235">
        <v>322</v>
      </c>
      <c r="N235">
        <v>3</v>
      </c>
      <c r="O235">
        <v>4</v>
      </c>
      <c r="P235" t="s">
        <v>488</v>
      </c>
      <c r="Q235">
        <v>13.7</v>
      </c>
    </row>
    <row r="236" spans="1:17" x14ac:dyDescent="0.25">
      <c r="A236">
        <v>2025</v>
      </c>
      <c r="B236" t="s">
        <v>436</v>
      </c>
      <c r="C236" t="s">
        <v>489</v>
      </c>
      <c r="D236" t="s">
        <v>118</v>
      </c>
      <c r="E236">
        <v>5</v>
      </c>
      <c r="F236">
        <v>8</v>
      </c>
      <c r="G236" t="s">
        <v>80</v>
      </c>
      <c r="H236" t="s">
        <v>105</v>
      </c>
      <c r="I236">
        <v>16.5</v>
      </c>
      <c r="J236">
        <v>11</v>
      </c>
      <c r="K236">
        <v>14</v>
      </c>
      <c r="L236">
        <v>20</v>
      </c>
      <c r="M236">
        <v>327</v>
      </c>
      <c r="N236">
        <v>3</v>
      </c>
      <c r="O236">
        <v>4</v>
      </c>
      <c r="P236" t="s">
        <v>490</v>
      </c>
      <c r="Q236">
        <v>14</v>
      </c>
    </row>
    <row r="237" spans="1:17" x14ac:dyDescent="0.25">
      <c r="A237">
        <v>2025</v>
      </c>
      <c r="B237" t="s">
        <v>436</v>
      </c>
      <c r="C237" t="s">
        <v>489</v>
      </c>
      <c r="D237" t="s">
        <v>118</v>
      </c>
      <c r="E237">
        <v>5</v>
      </c>
      <c r="F237">
        <v>8</v>
      </c>
      <c r="G237" t="s">
        <v>75</v>
      </c>
      <c r="H237" t="s">
        <v>105</v>
      </c>
      <c r="I237">
        <v>17.2</v>
      </c>
      <c r="J237">
        <v>11</v>
      </c>
      <c r="K237">
        <v>14.4</v>
      </c>
      <c r="L237">
        <v>20</v>
      </c>
      <c r="M237">
        <v>337</v>
      </c>
      <c r="N237">
        <v>3</v>
      </c>
      <c r="O237">
        <v>4</v>
      </c>
      <c r="P237" t="s">
        <v>490</v>
      </c>
      <c r="Q237">
        <v>14.4</v>
      </c>
    </row>
    <row r="238" spans="1:17" x14ac:dyDescent="0.25">
      <c r="A238">
        <v>2025</v>
      </c>
      <c r="B238" t="s">
        <v>436</v>
      </c>
      <c r="C238" t="s">
        <v>491</v>
      </c>
      <c r="D238" t="s">
        <v>118</v>
      </c>
      <c r="E238">
        <v>5.2</v>
      </c>
      <c r="F238">
        <v>8</v>
      </c>
      <c r="G238" t="s">
        <v>426</v>
      </c>
      <c r="H238" t="s">
        <v>73</v>
      </c>
      <c r="I238">
        <v>23.5</v>
      </c>
      <c r="J238">
        <v>13.9</v>
      </c>
      <c r="K238">
        <v>19.2</v>
      </c>
      <c r="L238">
        <v>15</v>
      </c>
      <c r="M238">
        <v>451</v>
      </c>
      <c r="N238">
        <v>1</v>
      </c>
      <c r="O238">
        <v>4</v>
      </c>
      <c r="P238" t="s">
        <v>492</v>
      </c>
      <c r="Q238">
        <v>19.2</v>
      </c>
    </row>
    <row r="239" spans="1:17" x14ac:dyDescent="0.25">
      <c r="A239">
        <v>2025</v>
      </c>
      <c r="B239" t="s">
        <v>436</v>
      </c>
      <c r="C239" t="s">
        <v>493</v>
      </c>
      <c r="D239" t="s">
        <v>353</v>
      </c>
      <c r="E239">
        <v>2.2999999999999998</v>
      </c>
      <c r="F239">
        <v>4</v>
      </c>
      <c r="G239" t="s">
        <v>80</v>
      </c>
      <c r="H239" t="s">
        <v>105</v>
      </c>
      <c r="I239">
        <v>12.2</v>
      </c>
      <c r="J239">
        <v>9</v>
      </c>
      <c r="K239">
        <v>10.7</v>
      </c>
      <c r="L239">
        <v>26</v>
      </c>
      <c r="M239">
        <v>252</v>
      </c>
      <c r="N239">
        <v>5</v>
      </c>
      <c r="O239">
        <v>6</v>
      </c>
      <c r="P239" t="s">
        <v>494</v>
      </c>
      <c r="Q239">
        <v>10.7</v>
      </c>
    </row>
    <row r="240" spans="1:17" x14ac:dyDescent="0.25">
      <c r="A240">
        <v>2025</v>
      </c>
      <c r="B240" t="s">
        <v>436</v>
      </c>
      <c r="C240" t="s">
        <v>493</v>
      </c>
      <c r="D240" t="s">
        <v>353</v>
      </c>
      <c r="E240">
        <v>2.7</v>
      </c>
      <c r="F240">
        <v>6</v>
      </c>
      <c r="G240" t="s">
        <v>80</v>
      </c>
      <c r="H240" t="s">
        <v>105</v>
      </c>
      <c r="I240">
        <v>12.7</v>
      </c>
      <c r="J240">
        <v>10.1</v>
      </c>
      <c r="K240">
        <v>11.5</v>
      </c>
      <c r="L240">
        <v>25</v>
      </c>
      <c r="M240">
        <v>270</v>
      </c>
      <c r="N240">
        <v>4</v>
      </c>
      <c r="O240">
        <v>5</v>
      </c>
      <c r="P240" t="s">
        <v>494</v>
      </c>
      <c r="Q240">
        <v>11.5</v>
      </c>
    </row>
    <row r="241" spans="1:17" x14ac:dyDescent="0.25">
      <c r="A241">
        <v>2025</v>
      </c>
      <c r="B241" t="s">
        <v>436</v>
      </c>
      <c r="C241" t="s">
        <v>495</v>
      </c>
      <c r="D241" t="s">
        <v>353</v>
      </c>
      <c r="E241">
        <v>3</v>
      </c>
      <c r="F241">
        <v>6</v>
      </c>
      <c r="G241" t="s">
        <v>80</v>
      </c>
      <c r="H241" t="s">
        <v>105</v>
      </c>
      <c r="I241">
        <v>14.9</v>
      </c>
      <c r="J241">
        <v>12.8</v>
      </c>
      <c r="K241">
        <v>14</v>
      </c>
      <c r="L241">
        <v>20</v>
      </c>
      <c r="M241">
        <v>326</v>
      </c>
      <c r="N241">
        <v>3</v>
      </c>
      <c r="O241">
        <v>5</v>
      </c>
      <c r="P241" t="s">
        <v>496</v>
      </c>
      <c r="Q241">
        <v>14</v>
      </c>
    </row>
    <row r="242" spans="1:17" x14ac:dyDescent="0.25">
      <c r="A242">
        <v>2025</v>
      </c>
      <c r="B242" t="s">
        <v>497</v>
      </c>
      <c r="C242" t="s">
        <v>498</v>
      </c>
      <c r="D242" t="s">
        <v>90</v>
      </c>
      <c r="E242">
        <v>2.5</v>
      </c>
      <c r="F242">
        <v>4</v>
      </c>
      <c r="G242" t="s">
        <v>142</v>
      </c>
      <c r="H242" t="s">
        <v>73</v>
      </c>
      <c r="I242">
        <v>11.7</v>
      </c>
      <c r="J242">
        <v>8.4</v>
      </c>
      <c r="K242">
        <v>10.199999999999999</v>
      </c>
      <c r="L242">
        <v>28</v>
      </c>
      <c r="M242">
        <v>239</v>
      </c>
      <c r="N242">
        <v>5</v>
      </c>
      <c r="O242">
        <v>5</v>
      </c>
      <c r="P242" t="s">
        <v>499</v>
      </c>
      <c r="Q242">
        <v>10.199999999999999</v>
      </c>
    </row>
    <row r="243" spans="1:17" x14ac:dyDescent="0.25">
      <c r="A243">
        <v>2025</v>
      </c>
      <c r="B243" t="s">
        <v>497</v>
      </c>
      <c r="C243" t="s">
        <v>498</v>
      </c>
      <c r="D243" t="s">
        <v>90</v>
      </c>
      <c r="E243">
        <v>3.3</v>
      </c>
      <c r="F243">
        <v>6</v>
      </c>
      <c r="G243" t="s">
        <v>142</v>
      </c>
      <c r="H243" t="s">
        <v>73</v>
      </c>
      <c r="I243">
        <v>14.3</v>
      </c>
      <c r="J243">
        <v>10.7</v>
      </c>
      <c r="K243">
        <v>12.7</v>
      </c>
      <c r="L243">
        <v>22</v>
      </c>
      <c r="M243">
        <v>298</v>
      </c>
      <c r="N243">
        <v>4</v>
      </c>
      <c r="O243">
        <v>4</v>
      </c>
      <c r="P243" t="s">
        <v>499</v>
      </c>
      <c r="Q243">
        <v>12.7</v>
      </c>
    </row>
    <row r="244" spans="1:17" x14ac:dyDescent="0.25">
      <c r="A244">
        <v>2025</v>
      </c>
      <c r="B244" t="s">
        <v>497</v>
      </c>
      <c r="C244" t="s">
        <v>500</v>
      </c>
      <c r="D244" t="s">
        <v>71</v>
      </c>
      <c r="E244">
        <v>2.5</v>
      </c>
      <c r="F244">
        <v>4</v>
      </c>
      <c r="G244" t="s">
        <v>142</v>
      </c>
      <c r="H244" t="s">
        <v>73</v>
      </c>
      <c r="I244">
        <v>11.6</v>
      </c>
      <c r="J244">
        <v>8.1</v>
      </c>
      <c r="K244">
        <v>10</v>
      </c>
      <c r="L244">
        <v>28</v>
      </c>
      <c r="M244">
        <v>235</v>
      </c>
      <c r="N244">
        <v>5</v>
      </c>
      <c r="O244">
        <v>6</v>
      </c>
      <c r="P244" t="s">
        <v>501</v>
      </c>
      <c r="Q244">
        <v>10</v>
      </c>
    </row>
    <row r="245" spans="1:17" x14ac:dyDescent="0.25">
      <c r="A245">
        <v>2025</v>
      </c>
      <c r="B245" t="s">
        <v>497</v>
      </c>
      <c r="C245" t="s">
        <v>500</v>
      </c>
      <c r="D245" t="s">
        <v>71</v>
      </c>
      <c r="E245">
        <v>3.5</v>
      </c>
      <c r="F245">
        <v>6</v>
      </c>
      <c r="G245" t="s">
        <v>142</v>
      </c>
      <c r="H245" t="s">
        <v>73</v>
      </c>
      <c r="I245">
        <v>15.6</v>
      </c>
      <c r="J245">
        <v>10.199999999999999</v>
      </c>
      <c r="K245">
        <v>13.1</v>
      </c>
      <c r="L245">
        <v>22</v>
      </c>
      <c r="M245">
        <v>308</v>
      </c>
      <c r="N245">
        <v>4</v>
      </c>
      <c r="O245">
        <v>5</v>
      </c>
      <c r="P245" t="s">
        <v>501</v>
      </c>
      <c r="Q245">
        <v>13.1</v>
      </c>
    </row>
    <row r="246" spans="1:17" x14ac:dyDescent="0.25">
      <c r="A246">
        <v>2025</v>
      </c>
      <c r="B246" t="s">
        <v>497</v>
      </c>
      <c r="C246" t="s">
        <v>502</v>
      </c>
      <c r="D246" t="s">
        <v>71</v>
      </c>
      <c r="E246">
        <v>3.5</v>
      </c>
      <c r="F246">
        <v>6</v>
      </c>
      <c r="G246" t="s">
        <v>142</v>
      </c>
      <c r="H246" t="s">
        <v>73</v>
      </c>
      <c r="I246">
        <v>13.6</v>
      </c>
      <c r="J246">
        <v>9.6</v>
      </c>
      <c r="K246">
        <v>11.8</v>
      </c>
      <c r="L246">
        <v>24</v>
      </c>
      <c r="M246">
        <v>274</v>
      </c>
      <c r="N246">
        <v>4</v>
      </c>
      <c r="O246">
        <v>4</v>
      </c>
      <c r="P246" t="s">
        <v>503</v>
      </c>
      <c r="Q246">
        <v>11.8</v>
      </c>
    </row>
    <row r="247" spans="1:17" x14ac:dyDescent="0.25">
      <c r="A247">
        <v>2025</v>
      </c>
      <c r="B247" t="s">
        <v>497</v>
      </c>
      <c r="C247" t="s">
        <v>504</v>
      </c>
      <c r="D247" t="s">
        <v>79</v>
      </c>
      <c r="E247">
        <v>2.5</v>
      </c>
      <c r="F247">
        <v>4</v>
      </c>
      <c r="G247" t="s">
        <v>142</v>
      </c>
      <c r="H247" t="s">
        <v>73</v>
      </c>
      <c r="I247">
        <v>11.8</v>
      </c>
      <c r="J247">
        <v>9</v>
      </c>
      <c r="K247">
        <v>10.6</v>
      </c>
      <c r="L247">
        <v>27</v>
      </c>
      <c r="M247">
        <v>248</v>
      </c>
      <c r="N247">
        <v>5</v>
      </c>
      <c r="O247">
        <v>4</v>
      </c>
      <c r="P247" t="s">
        <v>505</v>
      </c>
      <c r="Q247">
        <v>10.6</v>
      </c>
    </row>
    <row r="248" spans="1:17" x14ac:dyDescent="0.25">
      <c r="A248">
        <v>2025</v>
      </c>
      <c r="B248" t="s">
        <v>497</v>
      </c>
      <c r="C248" t="s">
        <v>504</v>
      </c>
      <c r="D248" t="s">
        <v>79</v>
      </c>
      <c r="E248">
        <v>3.5</v>
      </c>
      <c r="F248">
        <v>6</v>
      </c>
      <c r="G248" t="s">
        <v>142</v>
      </c>
      <c r="H248" t="s">
        <v>73</v>
      </c>
      <c r="I248">
        <v>12.9</v>
      </c>
      <c r="J248">
        <v>10</v>
      </c>
      <c r="K248">
        <v>11.6</v>
      </c>
      <c r="L248">
        <v>24</v>
      </c>
      <c r="M248">
        <v>275</v>
      </c>
      <c r="N248">
        <v>4</v>
      </c>
      <c r="O248">
        <v>4</v>
      </c>
      <c r="P248" t="s">
        <v>505</v>
      </c>
      <c r="Q248">
        <v>11.6</v>
      </c>
    </row>
    <row r="249" spans="1:17" x14ac:dyDescent="0.25">
      <c r="A249">
        <v>2025</v>
      </c>
      <c r="B249" t="s">
        <v>497</v>
      </c>
      <c r="C249" t="s">
        <v>506</v>
      </c>
      <c r="D249" t="s">
        <v>83</v>
      </c>
      <c r="E249">
        <v>3.5</v>
      </c>
      <c r="F249">
        <v>6</v>
      </c>
      <c r="G249" t="s">
        <v>142</v>
      </c>
      <c r="H249" t="s">
        <v>73</v>
      </c>
      <c r="I249">
        <v>13.1</v>
      </c>
      <c r="J249">
        <v>10.7</v>
      </c>
      <c r="K249">
        <v>12</v>
      </c>
      <c r="L249">
        <v>24</v>
      </c>
      <c r="M249">
        <v>283</v>
      </c>
      <c r="N249">
        <v>4</v>
      </c>
      <c r="O249">
        <v>5</v>
      </c>
      <c r="P249" t="s">
        <v>507</v>
      </c>
      <c r="Q249">
        <v>12</v>
      </c>
    </row>
    <row r="250" spans="1:17" x14ac:dyDescent="0.25">
      <c r="A250">
        <v>2025</v>
      </c>
      <c r="B250" t="s">
        <v>497</v>
      </c>
      <c r="C250" t="s">
        <v>508</v>
      </c>
      <c r="D250" t="s">
        <v>83</v>
      </c>
      <c r="E250">
        <v>2.5</v>
      </c>
      <c r="F250">
        <v>4</v>
      </c>
      <c r="G250" t="s">
        <v>142</v>
      </c>
      <c r="H250" t="s">
        <v>73</v>
      </c>
      <c r="I250">
        <v>12.5</v>
      </c>
      <c r="J250">
        <v>9.8000000000000007</v>
      </c>
      <c r="K250">
        <v>11.3</v>
      </c>
      <c r="L250">
        <v>25</v>
      </c>
      <c r="M250">
        <v>265</v>
      </c>
      <c r="N250">
        <v>4</v>
      </c>
      <c r="O250">
        <v>6</v>
      </c>
      <c r="P250" t="s">
        <v>509</v>
      </c>
      <c r="Q250">
        <v>11.3</v>
      </c>
    </row>
    <row r="251" spans="1:17" x14ac:dyDescent="0.25">
      <c r="A251">
        <v>2025</v>
      </c>
      <c r="B251" t="s">
        <v>497</v>
      </c>
      <c r="C251" t="s">
        <v>508</v>
      </c>
      <c r="D251" t="s">
        <v>83</v>
      </c>
      <c r="E251">
        <v>3.5</v>
      </c>
      <c r="F251">
        <v>6</v>
      </c>
      <c r="G251" t="s">
        <v>142</v>
      </c>
      <c r="H251" t="s">
        <v>73</v>
      </c>
      <c r="I251">
        <v>14.4</v>
      </c>
      <c r="J251">
        <v>10.6</v>
      </c>
      <c r="K251">
        <v>12.7</v>
      </c>
      <c r="L251">
        <v>22</v>
      </c>
      <c r="M251">
        <v>298</v>
      </c>
      <c r="N251">
        <v>4</v>
      </c>
      <c r="O251">
        <v>5</v>
      </c>
      <c r="P251" t="s">
        <v>509</v>
      </c>
      <c r="Q251">
        <v>12.7</v>
      </c>
    </row>
    <row r="252" spans="1:17" x14ac:dyDescent="0.25">
      <c r="A252">
        <v>2025</v>
      </c>
      <c r="B252" t="s">
        <v>510</v>
      </c>
      <c r="C252" t="s">
        <v>511</v>
      </c>
      <c r="D252" t="s">
        <v>83</v>
      </c>
      <c r="E252">
        <v>2.5</v>
      </c>
      <c r="F252">
        <v>4</v>
      </c>
      <c r="G252" t="s">
        <v>97</v>
      </c>
      <c r="H252" t="s">
        <v>105</v>
      </c>
      <c r="I252">
        <v>12.3</v>
      </c>
      <c r="J252">
        <v>9.9</v>
      </c>
      <c r="K252">
        <v>11.2</v>
      </c>
      <c r="L252">
        <v>25</v>
      </c>
      <c r="M252">
        <v>262</v>
      </c>
      <c r="N252">
        <v>4</v>
      </c>
      <c r="O252">
        <v>5</v>
      </c>
      <c r="P252" t="s">
        <v>512</v>
      </c>
      <c r="Q252">
        <v>11.2</v>
      </c>
    </row>
    <row r="253" spans="1:17" x14ac:dyDescent="0.25">
      <c r="A253">
        <v>2025</v>
      </c>
      <c r="B253" t="s">
        <v>510</v>
      </c>
      <c r="C253" t="s">
        <v>513</v>
      </c>
      <c r="D253" t="s">
        <v>353</v>
      </c>
      <c r="E253">
        <v>2.7</v>
      </c>
      <c r="F253">
        <v>4</v>
      </c>
      <c r="G253" t="s">
        <v>97</v>
      </c>
      <c r="H253" t="s">
        <v>105</v>
      </c>
      <c r="I253">
        <v>12.4</v>
      </c>
      <c r="J253">
        <v>10.3</v>
      </c>
      <c r="K253">
        <v>11.5</v>
      </c>
      <c r="L253">
        <v>25</v>
      </c>
      <c r="M253">
        <v>291</v>
      </c>
      <c r="N253">
        <v>4</v>
      </c>
      <c r="O253">
        <v>6</v>
      </c>
      <c r="P253" t="s">
        <v>514</v>
      </c>
      <c r="Q253">
        <v>11.5</v>
      </c>
    </row>
    <row r="254" spans="1:17" x14ac:dyDescent="0.25">
      <c r="A254">
        <v>2025</v>
      </c>
      <c r="B254" t="s">
        <v>510</v>
      </c>
      <c r="C254" t="s">
        <v>515</v>
      </c>
      <c r="D254" t="s">
        <v>353</v>
      </c>
      <c r="E254">
        <v>2.7</v>
      </c>
      <c r="F254">
        <v>4</v>
      </c>
      <c r="G254" t="s">
        <v>97</v>
      </c>
      <c r="H254" t="s">
        <v>105</v>
      </c>
      <c r="I254">
        <v>13.6</v>
      </c>
      <c r="J254">
        <v>11</v>
      </c>
      <c r="K254">
        <v>12.4</v>
      </c>
      <c r="L254">
        <v>23</v>
      </c>
      <c r="M254">
        <v>303</v>
      </c>
      <c r="N254">
        <v>4</v>
      </c>
      <c r="O254">
        <v>6</v>
      </c>
      <c r="P254" t="s">
        <v>516</v>
      </c>
      <c r="Q254">
        <v>12.4</v>
      </c>
    </row>
    <row r="255" spans="1:17" x14ac:dyDescent="0.25">
      <c r="A255">
        <v>2025</v>
      </c>
      <c r="B255" t="s">
        <v>510</v>
      </c>
      <c r="C255" t="s">
        <v>517</v>
      </c>
      <c r="D255" t="s">
        <v>353</v>
      </c>
      <c r="E255">
        <v>2.7</v>
      </c>
      <c r="F255">
        <v>4</v>
      </c>
      <c r="G255" t="s">
        <v>97</v>
      </c>
      <c r="H255" t="s">
        <v>105</v>
      </c>
      <c r="I255">
        <v>14.1</v>
      </c>
      <c r="J255">
        <v>13.8</v>
      </c>
      <c r="K255">
        <v>14</v>
      </c>
      <c r="L255">
        <v>20</v>
      </c>
      <c r="M255">
        <v>328</v>
      </c>
      <c r="N255">
        <v>3</v>
      </c>
      <c r="O255">
        <v>6</v>
      </c>
      <c r="P255" t="s">
        <v>518</v>
      </c>
      <c r="Q255">
        <v>14</v>
      </c>
    </row>
    <row r="256" spans="1:17" x14ac:dyDescent="0.25">
      <c r="A256">
        <v>2025</v>
      </c>
      <c r="B256" t="s">
        <v>510</v>
      </c>
      <c r="C256" t="s">
        <v>519</v>
      </c>
      <c r="D256" t="s">
        <v>353</v>
      </c>
      <c r="E256">
        <v>2.7</v>
      </c>
      <c r="F256">
        <v>4</v>
      </c>
      <c r="G256" t="s">
        <v>97</v>
      </c>
      <c r="H256" t="s">
        <v>105</v>
      </c>
      <c r="I256">
        <v>14.8</v>
      </c>
      <c r="J256">
        <v>15.1</v>
      </c>
      <c r="K256">
        <v>14.9</v>
      </c>
      <c r="L256">
        <v>19</v>
      </c>
      <c r="M256">
        <v>350</v>
      </c>
      <c r="N256">
        <v>3</v>
      </c>
      <c r="O256">
        <v>6</v>
      </c>
      <c r="P256" t="s">
        <v>520</v>
      </c>
      <c r="Q256">
        <v>14.9</v>
      </c>
    </row>
    <row r="257" spans="1:17" x14ac:dyDescent="0.25">
      <c r="A257">
        <v>2025</v>
      </c>
      <c r="B257" t="s">
        <v>510</v>
      </c>
      <c r="C257" t="s">
        <v>521</v>
      </c>
      <c r="D257" t="s">
        <v>353</v>
      </c>
      <c r="E257">
        <v>2.7</v>
      </c>
      <c r="F257">
        <v>4</v>
      </c>
      <c r="G257" t="s">
        <v>97</v>
      </c>
      <c r="H257" t="s">
        <v>105</v>
      </c>
      <c r="I257">
        <v>13.4</v>
      </c>
      <c r="J257">
        <v>11.2</v>
      </c>
      <c r="K257">
        <v>12.5</v>
      </c>
      <c r="L257">
        <v>23</v>
      </c>
      <c r="M257">
        <v>292</v>
      </c>
      <c r="N257">
        <v>4</v>
      </c>
      <c r="O257">
        <v>6</v>
      </c>
      <c r="P257" t="s">
        <v>522</v>
      </c>
      <c r="Q257">
        <v>12.5</v>
      </c>
    </row>
    <row r="258" spans="1:17" x14ac:dyDescent="0.25">
      <c r="A258">
        <v>2025</v>
      </c>
      <c r="B258" t="s">
        <v>510</v>
      </c>
      <c r="C258" t="s">
        <v>521</v>
      </c>
      <c r="D258" t="s">
        <v>353</v>
      </c>
      <c r="E258">
        <v>3</v>
      </c>
      <c r="F258">
        <v>6</v>
      </c>
      <c r="G258" t="s">
        <v>337</v>
      </c>
      <c r="H258" t="s">
        <v>381</v>
      </c>
      <c r="I258">
        <v>10</v>
      </c>
      <c r="J258">
        <v>8.3000000000000007</v>
      </c>
      <c r="K258">
        <v>9.3000000000000007</v>
      </c>
      <c r="L258">
        <v>30</v>
      </c>
      <c r="M258">
        <v>249</v>
      </c>
      <c r="N258">
        <v>5</v>
      </c>
      <c r="O258">
        <v>4</v>
      </c>
      <c r="P258" t="s">
        <v>522</v>
      </c>
      <c r="Q258">
        <v>9.3000000000000007</v>
      </c>
    </row>
    <row r="259" spans="1:17" x14ac:dyDescent="0.25">
      <c r="A259">
        <v>2025</v>
      </c>
      <c r="B259" t="s">
        <v>510</v>
      </c>
      <c r="C259" t="s">
        <v>521</v>
      </c>
      <c r="D259" t="s">
        <v>353</v>
      </c>
      <c r="E259">
        <v>5.3</v>
      </c>
      <c r="F259">
        <v>8</v>
      </c>
      <c r="G259" t="s">
        <v>337</v>
      </c>
      <c r="H259" t="s">
        <v>105</v>
      </c>
      <c r="I259">
        <v>14.9</v>
      </c>
      <c r="J259">
        <v>11.7</v>
      </c>
      <c r="K259">
        <v>13.5</v>
      </c>
      <c r="L259">
        <v>21</v>
      </c>
      <c r="M259">
        <v>315</v>
      </c>
      <c r="N259">
        <v>4</v>
      </c>
      <c r="O259">
        <v>6</v>
      </c>
      <c r="P259" t="s">
        <v>522</v>
      </c>
      <c r="Q259">
        <v>13.5</v>
      </c>
    </row>
    <row r="260" spans="1:17" x14ac:dyDescent="0.25">
      <c r="A260">
        <v>2025</v>
      </c>
      <c r="B260" t="s">
        <v>510</v>
      </c>
      <c r="C260" t="s">
        <v>523</v>
      </c>
      <c r="D260" t="s">
        <v>353</v>
      </c>
      <c r="E260">
        <v>2.7</v>
      </c>
      <c r="F260">
        <v>4</v>
      </c>
      <c r="G260" t="s">
        <v>97</v>
      </c>
      <c r="H260" t="s">
        <v>105</v>
      </c>
      <c r="I260">
        <v>14.1</v>
      </c>
      <c r="J260">
        <v>12.7</v>
      </c>
      <c r="K260">
        <v>13.5</v>
      </c>
      <c r="L260">
        <v>21</v>
      </c>
      <c r="M260">
        <v>315</v>
      </c>
      <c r="N260">
        <v>4</v>
      </c>
      <c r="O260">
        <v>6</v>
      </c>
      <c r="P260" t="s">
        <v>524</v>
      </c>
      <c r="Q260">
        <v>13.5</v>
      </c>
    </row>
    <row r="261" spans="1:17" x14ac:dyDescent="0.25">
      <c r="A261">
        <v>2025</v>
      </c>
      <c r="B261" t="s">
        <v>510</v>
      </c>
      <c r="C261" t="s">
        <v>525</v>
      </c>
      <c r="D261" t="s">
        <v>353</v>
      </c>
      <c r="E261">
        <v>2.7</v>
      </c>
      <c r="F261">
        <v>4</v>
      </c>
      <c r="G261" t="s">
        <v>97</v>
      </c>
      <c r="H261" t="s">
        <v>105</v>
      </c>
      <c r="I261">
        <v>14.2</v>
      </c>
      <c r="J261">
        <v>12.9</v>
      </c>
      <c r="K261">
        <v>13.6</v>
      </c>
      <c r="L261">
        <v>21</v>
      </c>
      <c r="M261">
        <v>320</v>
      </c>
      <c r="N261">
        <v>3</v>
      </c>
      <c r="O261">
        <v>6</v>
      </c>
      <c r="P261" t="s">
        <v>526</v>
      </c>
      <c r="Q261">
        <v>13.6</v>
      </c>
    </row>
    <row r="262" spans="1:17" x14ac:dyDescent="0.25">
      <c r="A262">
        <v>2025</v>
      </c>
      <c r="B262" t="s">
        <v>510</v>
      </c>
      <c r="C262" t="s">
        <v>527</v>
      </c>
      <c r="D262" t="s">
        <v>353</v>
      </c>
      <c r="E262">
        <v>2.7</v>
      </c>
      <c r="F262">
        <v>4</v>
      </c>
      <c r="G262" t="s">
        <v>97</v>
      </c>
      <c r="H262" t="s">
        <v>105</v>
      </c>
      <c r="I262">
        <v>14.7</v>
      </c>
      <c r="J262">
        <v>13.8</v>
      </c>
      <c r="K262">
        <v>14.3</v>
      </c>
      <c r="L262">
        <v>20</v>
      </c>
      <c r="M262">
        <v>335</v>
      </c>
      <c r="N262">
        <v>3</v>
      </c>
      <c r="O262">
        <v>6</v>
      </c>
      <c r="P262" t="s">
        <v>528</v>
      </c>
      <c r="Q262">
        <v>14.3</v>
      </c>
    </row>
    <row r="263" spans="1:17" x14ac:dyDescent="0.25">
      <c r="A263">
        <v>2025</v>
      </c>
      <c r="B263" t="s">
        <v>510</v>
      </c>
      <c r="C263" t="s">
        <v>523</v>
      </c>
      <c r="D263" t="s">
        <v>353</v>
      </c>
      <c r="E263">
        <v>3</v>
      </c>
      <c r="F263">
        <v>6</v>
      </c>
      <c r="G263" t="s">
        <v>337</v>
      </c>
      <c r="H263" t="s">
        <v>381</v>
      </c>
      <c r="I263">
        <v>10.6</v>
      </c>
      <c r="J263">
        <v>9</v>
      </c>
      <c r="K263">
        <v>9.9</v>
      </c>
      <c r="L263">
        <v>29</v>
      </c>
      <c r="M263">
        <v>266</v>
      </c>
      <c r="N263">
        <v>4</v>
      </c>
      <c r="O263">
        <v>4</v>
      </c>
      <c r="P263" t="s">
        <v>524</v>
      </c>
      <c r="Q263">
        <v>9.9</v>
      </c>
    </row>
    <row r="264" spans="1:17" x14ac:dyDescent="0.25">
      <c r="A264">
        <v>2025</v>
      </c>
      <c r="B264" t="s">
        <v>510</v>
      </c>
      <c r="C264" t="s">
        <v>527</v>
      </c>
      <c r="D264" t="s">
        <v>353</v>
      </c>
      <c r="E264">
        <v>3</v>
      </c>
      <c r="F264">
        <v>6</v>
      </c>
      <c r="G264" t="s">
        <v>337</v>
      </c>
      <c r="H264" t="s">
        <v>381</v>
      </c>
      <c r="I264">
        <v>11.1</v>
      </c>
      <c r="J264">
        <v>10</v>
      </c>
      <c r="K264">
        <v>10.6</v>
      </c>
      <c r="L264">
        <v>27</v>
      </c>
      <c r="M264">
        <v>285</v>
      </c>
      <c r="N264">
        <v>4</v>
      </c>
      <c r="O264">
        <v>4</v>
      </c>
      <c r="P264" t="s">
        <v>528</v>
      </c>
      <c r="Q264">
        <v>10.6</v>
      </c>
    </row>
    <row r="265" spans="1:17" x14ac:dyDescent="0.25">
      <c r="A265">
        <v>2025</v>
      </c>
      <c r="B265" t="s">
        <v>510</v>
      </c>
      <c r="C265" t="s">
        <v>523</v>
      </c>
      <c r="D265" t="s">
        <v>353</v>
      </c>
      <c r="E265">
        <v>5.3</v>
      </c>
      <c r="F265">
        <v>8</v>
      </c>
      <c r="G265" t="s">
        <v>337</v>
      </c>
      <c r="H265" t="s">
        <v>105</v>
      </c>
      <c r="I265">
        <v>15.4</v>
      </c>
      <c r="J265">
        <v>12.6</v>
      </c>
      <c r="K265">
        <v>14.2</v>
      </c>
      <c r="L265">
        <v>20</v>
      </c>
      <c r="M265">
        <v>332</v>
      </c>
      <c r="N265">
        <v>3</v>
      </c>
      <c r="O265">
        <v>6</v>
      </c>
      <c r="P265" t="s">
        <v>524</v>
      </c>
      <c r="Q265">
        <v>14.2</v>
      </c>
    </row>
    <row r="266" spans="1:17" x14ac:dyDescent="0.25">
      <c r="A266">
        <v>2025</v>
      </c>
      <c r="B266" t="s">
        <v>510</v>
      </c>
      <c r="C266" t="s">
        <v>529</v>
      </c>
      <c r="D266" t="s">
        <v>353</v>
      </c>
      <c r="E266">
        <v>5.3</v>
      </c>
      <c r="F266">
        <v>8</v>
      </c>
      <c r="G266" t="s">
        <v>337</v>
      </c>
      <c r="H266" t="s">
        <v>105</v>
      </c>
      <c r="I266">
        <v>15.2</v>
      </c>
      <c r="J266">
        <v>12.2</v>
      </c>
      <c r="K266">
        <v>13.9</v>
      </c>
      <c r="L266">
        <v>20</v>
      </c>
      <c r="M266">
        <v>326</v>
      </c>
      <c r="N266">
        <v>3</v>
      </c>
      <c r="O266">
        <v>4</v>
      </c>
      <c r="P266" t="s">
        <v>530</v>
      </c>
      <c r="Q266">
        <v>13.9</v>
      </c>
    </row>
    <row r="267" spans="1:17" x14ac:dyDescent="0.25">
      <c r="A267">
        <v>2025</v>
      </c>
      <c r="B267" t="s">
        <v>510</v>
      </c>
      <c r="C267" t="s">
        <v>529</v>
      </c>
      <c r="D267" t="s">
        <v>353</v>
      </c>
      <c r="E267">
        <v>5.3</v>
      </c>
      <c r="F267">
        <v>8</v>
      </c>
      <c r="G267" t="s">
        <v>337</v>
      </c>
      <c r="H267" t="s">
        <v>390</v>
      </c>
      <c r="I267">
        <v>21.3</v>
      </c>
      <c r="J267">
        <v>16.600000000000001</v>
      </c>
      <c r="K267">
        <v>19.2</v>
      </c>
      <c r="L267">
        <v>15</v>
      </c>
      <c r="M267">
        <v>318</v>
      </c>
      <c r="N267">
        <v>3</v>
      </c>
      <c r="O267">
        <v>4</v>
      </c>
      <c r="P267" t="s">
        <v>530</v>
      </c>
      <c r="Q267">
        <v>19.2</v>
      </c>
    </row>
    <row r="268" spans="1:17" x14ac:dyDescent="0.25">
      <c r="A268">
        <v>2025</v>
      </c>
      <c r="B268" t="s">
        <v>510</v>
      </c>
      <c r="C268" t="s">
        <v>527</v>
      </c>
      <c r="D268" t="s">
        <v>353</v>
      </c>
      <c r="E268">
        <v>5.3</v>
      </c>
      <c r="F268">
        <v>8</v>
      </c>
      <c r="G268" t="s">
        <v>337</v>
      </c>
      <c r="H268" t="s">
        <v>105</v>
      </c>
      <c r="I268">
        <v>15.7</v>
      </c>
      <c r="J268">
        <v>13.2</v>
      </c>
      <c r="K268">
        <v>14.6</v>
      </c>
      <c r="L268">
        <v>19</v>
      </c>
      <c r="M268">
        <v>342</v>
      </c>
      <c r="N268">
        <v>3</v>
      </c>
      <c r="O268">
        <v>6</v>
      </c>
      <c r="P268" t="s">
        <v>528</v>
      </c>
      <c r="Q268">
        <v>14.6</v>
      </c>
    </row>
    <row r="269" spans="1:17" x14ac:dyDescent="0.25">
      <c r="A269">
        <v>2025</v>
      </c>
      <c r="B269" t="s">
        <v>510</v>
      </c>
      <c r="C269" t="s">
        <v>523</v>
      </c>
      <c r="D269" t="s">
        <v>353</v>
      </c>
      <c r="E269">
        <v>6.2</v>
      </c>
      <c r="F269">
        <v>8</v>
      </c>
      <c r="G269" t="s">
        <v>337</v>
      </c>
      <c r="H269" t="s">
        <v>73</v>
      </c>
      <c r="I269">
        <v>16</v>
      </c>
      <c r="J269">
        <v>12.1</v>
      </c>
      <c r="K269">
        <v>14.3</v>
      </c>
      <c r="L269">
        <v>20</v>
      </c>
      <c r="M269">
        <v>335</v>
      </c>
      <c r="N269">
        <v>3</v>
      </c>
      <c r="O269">
        <v>5</v>
      </c>
      <c r="P269" t="s">
        <v>524</v>
      </c>
      <c r="Q269">
        <v>14.3</v>
      </c>
    </row>
    <row r="270" spans="1:17" x14ac:dyDescent="0.25">
      <c r="A270">
        <v>2025</v>
      </c>
      <c r="B270" t="s">
        <v>510</v>
      </c>
      <c r="C270" t="s">
        <v>527</v>
      </c>
      <c r="D270" t="s">
        <v>353</v>
      </c>
      <c r="E270">
        <v>6.2</v>
      </c>
      <c r="F270">
        <v>8</v>
      </c>
      <c r="G270" t="s">
        <v>337</v>
      </c>
      <c r="H270" t="s">
        <v>73</v>
      </c>
      <c r="I270">
        <v>17.100000000000001</v>
      </c>
      <c r="J270">
        <v>14</v>
      </c>
      <c r="K270">
        <v>15.7</v>
      </c>
      <c r="L270">
        <v>18</v>
      </c>
      <c r="M270">
        <v>368</v>
      </c>
      <c r="N270">
        <v>2</v>
      </c>
      <c r="O270">
        <v>5</v>
      </c>
      <c r="P270" t="s">
        <v>528</v>
      </c>
      <c r="Q270">
        <v>15.7</v>
      </c>
    </row>
    <row r="271" spans="1:17" x14ac:dyDescent="0.25">
      <c r="A271">
        <v>2025</v>
      </c>
      <c r="B271" t="s">
        <v>510</v>
      </c>
      <c r="C271" t="s">
        <v>531</v>
      </c>
      <c r="D271" t="s">
        <v>353</v>
      </c>
      <c r="E271">
        <v>3</v>
      </c>
      <c r="F271">
        <v>6</v>
      </c>
      <c r="G271" t="s">
        <v>337</v>
      </c>
      <c r="H271" t="s">
        <v>381</v>
      </c>
      <c r="I271">
        <v>12.2</v>
      </c>
      <c r="J271">
        <v>12</v>
      </c>
      <c r="K271">
        <v>12.1</v>
      </c>
      <c r="L271">
        <v>23</v>
      </c>
      <c r="M271">
        <v>326</v>
      </c>
      <c r="N271">
        <v>3</v>
      </c>
      <c r="O271">
        <v>4</v>
      </c>
      <c r="P271" t="s">
        <v>532</v>
      </c>
      <c r="Q271">
        <v>12.1</v>
      </c>
    </row>
    <row r="272" spans="1:17" x14ac:dyDescent="0.25">
      <c r="A272">
        <v>2025</v>
      </c>
      <c r="B272" t="s">
        <v>510</v>
      </c>
      <c r="C272" t="s">
        <v>531</v>
      </c>
      <c r="D272" t="s">
        <v>353</v>
      </c>
      <c r="E272">
        <v>6.2</v>
      </c>
      <c r="F272">
        <v>8</v>
      </c>
      <c r="G272" t="s">
        <v>337</v>
      </c>
      <c r="H272" t="s">
        <v>73</v>
      </c>
      <c r="I272">
        <v>17.100000000000001</v>
      </c>
      <c r="J272">
        <v>14.7</v>
      </c>
      <c r="K272">
        <v>16</v>
      </c>
      <c r="L272">
        <v>18</v>
      </c>
      <c r="M272">
        <v>377</v>
      </c>
      <c r="N272">
        <v>2</v>
      </c>
      <c r="O272">
        <v>5</v>
      </c>
      <c r="P272" t="s">
        <v>532</v>
      </c>
      <c r="Q272">
        <v>16</v>
      </c>
    </row>
    <row r="273" spans="1:17" x14ac:dyDescent="0.25">
      <c r="A273">
        <v>2025</v>
      </c>
      <c r="B273" t="s">
        <v>510</v>
      </c>
      <c r="C273" t="s">
        <v>533</v>
      </c>
      <c r="D273" t="s">
        <v>79</v>
      </c>
      <c r="E273">
        <v>1.5</v>
      </c>
      <c r="F273">
        <v>4</v>
      </c>
      <c r="G273" t="s">
        <v>309</v>
      </c>
      <c r="H273" t="s">
        <v>105</v>
      </c>
      <c r="I273">
        <v>9.1999999999999993</v>
      </c>
      <c r="J273">
        <v>8.3000000000000007</v>
      </c>
      <c r="K273">
        <v>8.8000000000000007</v>
      </c>
      <c r="L273">
        <v>32</v>
      </c>
      <c r="M273">
        <v>206</v>
      </c>
      <c r="N273">
        <v>5</v>
      </c>
      <c r="O273">
        <v>6</v>
      </c>
      <c r="P273" t="s">
        <v>534</v>
      </c>
      <c r="Q273">
        <v>8.8000000000000007</v>
      </c>
    </row>
    <row r="274" spans="1:17" x14ac:dyDescent="0.25">
      <c r="A274">
        <v>2025</v>
      </c>
      <c r="B274" t="s">
        <v>510</v>
      </c>
      <c r="C274" t="s">
        <v>535</v>
      </c>
      <c r="D274" t="s">
        <v>79</v>
      </c>
      <c r="E274">
        <v>1.5</v>
      </c>
      <c r="F274">
        <v>4</v>
      </c>
      <c r="G274" t="s">
        <v>97</v>
      </c>
      <c r="H274" t="s">
        <v>105</v>
      </c>
      <c r="I274">
        <v>10</v>
      </c>
      <c r="J274">
        <v>8.4</v>
      </c>
      <c r="K274">
        <v>9.3000000000000007</v>
      </c>
      <c r="L274">
        <v>30</v>
      </c>
      <c r="M274">
        <v>219</v>
      </c>
      <c r="N274">
        <v>5</v>
      </c>
      <c r="O274">
        <v>6</v>
      </c>
      <c r="P274" t="s">
        <v>536</v>
      </c>
      <c r="Q274">
        <v>9.3000000000000007</v>
      </c>
    </row>
    <row r="275" spans="1:17" x14ac:dyDescent="0.25">
      <c r="A275">
        <v>2025</v>
      </c>
      <c r="B275" t="s">
        <v>510</v>
      </c>
      <c r="C275" t="s">
        <v>537</v>
      </c>
      <c r="D275" t="s">
        <v>83</v>
      </c>
      <c r="E275">
        <v>5.3</v>
      </c>
      <c r="F275">
        <v>8</v>
      </c>
      <c r="G275" t="s">
        <v>337</v>
      </c>
      <c r="H275" t="s">
        <v>105</v>
      </c>
      <c r="I275">
        <v>15.7</v>
      </c>
      <c r="J275">
        <v>12</v>
      </c>
      <c r="K275">
        <v>14</v>
      </c>
      <c r="L275">
        <v>20</v>
      </c>
      <c r="M275">
        <v>329</v>
      </c>
      <c r="N275">
        <v>3</v>
      </c>
      <c r="O275">
        <v>6</v>
      </c>
      <c r="P275" t="s">
        <v>538</v>
      </c>
      <c r="Q275">
        <v>14</v>
      </c>
    </row>
    <row r="276" spans="1:17" x14ac:dyDescent="0.25">
      <c r="A276">
        <v>2025</v>
      </c>
      <c r="B276" t="s">
        <v>510</v>
      </c>
      <c r="C276" t="s">
        <v>539</v>
      </c>
      <c r="D276" t="s">
        <v>83</v>
      </c>
      <c r="E276">
        <v>3</v>
      </c>
      <c r="F276">
        <v>6</v>
      </c>
      <c r="G276" t="s">
        <v>337</v>
      </c>
      <c r="H276" t="s">
        <v>381</v>
      </c>
      <c r="I276">
        <v>11.5</v>
      </c>
      <c r="J276">
        <v>9.6999999999999993</v>
      </c>
      <c r="K276">
        <v>10.7</v>
      </c>
      <c r="L276">
        <v>26</v>
      </c>
      <c r="M276">
        <v>287</v>
      </c>
      <c r="N276">
        <v>4</v>
      </c>
      <c r="O276">
        <v>4</v>
      </c>
      <c r="P276" t="s">
        <v>540</v>
      </c>
      <c r="Q276">
        <v>10.7</v>
      </c>
    </row>
    <row r="277" spans="1:17" x14ac:dyDescent="0.25">
      <c r="A277">
        <v>2025</v>
      </c>
      <c r="B277" t="s">
        <v>510</v>
      </c>
      <c r="C277" t="s">
        <v>539</v>
      </c>
      <c r="D277" t="s">
        <v>83</v>
      </c>
      <c r="E277">
        <v>5.3</v>
      </c>
      <c r="F277">
        <v>8</v>
      </c>
      <c r="G277" t="s">
        <v>337</v>
      </c>
      <c r="H277" t="s">
        <v>105</v>
      </c>
      <c r="I277">
        <v>15.9</v>
      </c>
      <c r="J277">
        <v>12.5</v>
      </c>
      <c r="K277">
        <v>14.4</v>
      </c>
      <c r="L277">
        <v>20</v>
      </c>
      <c r="M277">
        <v>337</v>
      </c>
      <c r="N277">
        <v>3</v>
      </c>
      <c r="O277">
        <v>6</v>
      </c>
      <c r="P277" t="s">
        <v>540</v>
      </c>
      <c r="Q277">
        <v>14.4</v>
      </c>
    </row>
    <row r="278" spans="1:17" x14ac:dyDescent="0.25">
      <c r="A278">
        <v>2025</v>
      </c>
      <c r="B278" t="s">
        <v>510</v>
      </c>
      <c r="C278" t="s">
        <v>539</v>
      </c>
      <c r="D278" t="s">
        <v>83</v>
      </c>
      <c r="E278">
        <v>6.2</v>
      </c>
      <c r="F278">
        <v>8</v>
      </c>
      <c r="G278" t="s">
        <v>337</v>
      </c>
      <c r="H278" t="s">
        <v>73</v>
      </c>
      <c r="I278">
        <v>16.600000000000001</v>
      </c>
      <c r="J278">
        <v>13</v>
      </c>
      <c r="K278">
        <v>15</v>
      </c>
      <c r="L278">
        <v>19</v>
      </c>
      <c r="M278">
        <v>352</v>
      </c>
      <c r="N278">
        <v>3</v>
      </c>
      <c r="O278">
        <v>5</v>
      </c>
      <c r="P278" t="s">
        <v>540</v>
      </c>
      <c r="Q278">
        <v>15</v>
      </c>
    </row>
    <row r="279" spans="1:17" x14ac:dyDescent="0.25">
      <c r="A279">
        <v>2025</v>
      </c>
      <c r="B279" t="s">
        <v>510</v>
      </c>
      <c r="C279" t="s">
        <v>541</v>
      </c>
      <c r="D279" t="s">
        <v>83</v>
      </c>
      <c r="E279">
        <v>5.3</v>
      </c>
      <c r="F279">
        <v>8</v>
      </c>
      <c r="G279" t="s">
        <v>337</v>
      </c>
      <c r="H279" t="s">
        <v>105</v>
      </c>
      <c r="I279">
        <v>15.7</v>
      </c>
      <c r="J279">
        <v>12</v>
      </c>
      <c r="K279">
        <v>14</v>
      </c>
      <c r="L279">
        <v>20</v>
      </c>
      <c r="M279">
        <v>329</v>
      </c>
      <c r="N279">
        <v>3</v>
      </c>
      <c r="O279">
        <v>6</v>
      </c>
      <c r="P279" t="s">
        <v>542</v>
      </c>
      <c r="Q279">
        <v>14</v>
      </c>
    </row>
    <row r="280" spans="1:17" x14ac:dyDescent="0.25">
      <c r="A280">
        <v>2025</v>
      </c>
      <c r="B280" t="s">
        <v>510</v>
      </c>
      <c r="C280" t="s">
        <v>543</v>
      </c>
      <c r="D280" t="s">
        <v>83</v>
      </c>
      <c r="E280">
        <v>3</v>
      </c>
      <c r="F280">
        <v>6</v>
      </c>
      <c r="G280" t="s">
        <v>337</v>
      </c>
      <c r="H280" t="s">
        <v>381</v>
      </c>
      <c r="I280">
        <v>11.5</v>
      </c>
      <c r="J280">
        <v>9.6999999999999993</v>
      </c>
      <c r="K280">
        <v>10.7</v>
      </c>
      <c r="L280">
        <v>26</v>
      </c>
      <c r="M280">
        <v>287</v>
      </c>
      <c r="N280">
        <v>4</v>
      </c>
      <c r="O280">
        <v>4</v>
      </c>
      <c r="P280" t="s">
        <v>544</v>
      </c>
      <c r="Q280">
        <v>10.7</v>
      </c>
    </row>
    <row r="281" spans="1:17" x14ac:dyDescent="0.25">
      <c r="A281">
        <v>2025</v>
      </c>
      <c r="B281" t="s">
        <v>510</v>
      </c>
      <c r="C281" t="s">
        <v>543</v>
      </c>
      <c r="D281" t="s">
        <v>83</v>
      </c>
      <c r="E281">
        <v>5.3</v>
      </c>
      <c r="F281">
        <v>8</v>
      </c>
      <c r="G281" t="s">
        <v>337</v>
      </c>
      <c r="H281" t="s">
        <v>105</v>
      </c>
      <c r="I281">
        <v>17.100000000000001</v>
      </c>
      <c r="J281">
        <v>12.6</v>
      </c>
      <c r="K281">
        <v>15.1</v>
      </c>
      <c r="L281">
        <v>19</v>
      </c>
      <c r="M281">
        <v>353</v>
      </c>
      <c r="N281">
        <v>3</v>
      </c>
      <c r="O281">
        <v>6</v>
      </c>
      <c r="P281" t="s">
        <v>544</v>
      </c>
      <c r="Q281">
        <v>15.1</v>
      </c>
    </row>
    <row r="282" spans="1:17" x14ac:dyDescent="0.25">
      <c r="A282">
        <v>2025</v>
      </c>
      <c r="B282" t="s">
        <v>510</v>
      </c>
      <c r="C282" t="s">
        <v>543</v>
      </c>
      <c r="D282" t="s">
        <v>83</v>
      </c>
      <c r="E282">
        <v>6.2</v>
      </c>
      <c r="F282">
        <v>8</v>
      </c>
      <c r="G282" t="s">
        <v>337</v>
      </c>
      <c r="H282" t="s">
        <v>73</v>
      </c>
      <c r="I282">
        <v>16.600000000000001</v>
      </c>
      <c r="J282">
        <v>13</v>
      </c>
      <c r="K282">
        <v>15</v>
      </c>
      <c r="L282">
        <v>19</v>
      </c>
      <c r="M282">
        <v>352</v>
      </c>
      <c r="N282">
        <v>3</v>
      </c>
      <c r="O282">
        <v>5</v>
      </c>
      <c r="P282" t="s">
        <v>544</v>
      </c>
      <c r="Q282">
        <v>15</v>
      </c>
    </row>
    <row r="283" spans="1:17" x14ac:dyDescent="0.25">
      <c r="A283">
        <v>2025</v>
      </c>
      <c r="B283" t="s">
        <v>545</v>
      </c>
      <c r="C283" t="s">
        <v>546</v>
      </c>
      <c r="D283" t="s">
        <v>71</v>
      </c>
      <c r="E283">
        <v>1.5</v>
      </c>
      <c r="F283">
        <v>4</v>
      </c>
      <c r="G283" t="s">
        <v>309</v>
      </c>
      <c r="H283" t="s">
        <v>105</v>
      </c>
      <c r="I283">
        <v>8.1</v>
      </c>
      <c r="J283">
        <v>6.4</v>
      </c>
      <c r="K283">
        <v>7.3</v>
      </c>
      <c r="L283">
        <v>39</v>
      </c>
      <c r="M283">
        <v>171</v>
      </c>
      <c r="N283">
        <v>6</v>
      </c>
      <c r="O283">
        <v>6</v>
      </c>
      <c r="P283" t="s">
        <v>547</v>
      </c>
      <c r="Q283">
        <v>7.3</v>
      </c>
    </row>
    <row r="284" spans="1:17" x14ac:dyDescent="0.25">
      <c r="A284">
        <v>2025</v>
      </c>
      <c r="B284" t="s">
        <v>545</v>
      </c>
      <c r="C284" t="s">
        <v>548</v>
      </c>
      <c r="D284" t="s">
        <v>96</v>
      </c>
      <c r="E284">
        <v>2</v>
      </c>
      <c r="F284">
        <v>4</v>
      </c>
      <c r="G284" t="s">
        <v>309</v>
      </c>
      <c r="H284" t="s">
        <v>105</v>
      </c>
      <c r="I284">
        <v>5</v>
      </c>
      <c r="J284">
        <v>5.7</v>
      </c>
      <c r="K284">
        <v>5.3</v>
      </c>
      <c r="L284">
        <v>53</v>
      </c>
      <c r="M284">
        <v>124</v>
      </c>
      <c r="N284">
        <v>8</v>
      </c>
      <c r="O284">
        <v>6</v>
      </c>
      <c r="P284" t="s">
        <v>549</v>
      </c>
      <c r="Q284">
        <v>5.3</v>
      </c>
    </row>
    <row r="285" spans="1:17" x14ac:dyDescent="0.25">
      <c r="A285">
        <v>2025</v>
      </c>
      <c r="B285" t="s">
        <v>545</v>
      </c>
      <c r="C285" t="s">
        <v>550</v>
      </c>
      <c r="D285" t="s">
        <v>71</v>
      </c>
      <c r="E285">
        <v>2</v>
      </c>
      <c r="F285">
        <v>4</v>
      </c>
      <c r="G285" t="s">
        <v>309</v>
      </c>
      <c r="H285" t="s">
        <v>105</v>
      </c>
      <c r="I285">
        <v>7.7</v>
      </c>
      <c r="J285">
        <v>6.1</v>
      </c>
      <c r="K285">
        <v>7</v>
      </c>
      <c r="L285">
        <v>40</v>
      </c>
      <c r="M285">
        <v>164</v>
      </c>
      <c r="N285">
        <v>7</v>
      </c>
      <c r="O285">
        <v>6</v>
      </c>
      <c r="P285" t="s">
        <v>551</v>
      </c>
      <c r="Q285">
        <v>7</v>
      </c>
    </row>
    <row r="286" spans="1:17" x14ac:dyDescent="0.25">
      <c r="A286">
        <v>2025</v>
      </c>
      <c r="B286" t="s">
        <v>545</v>
      </c>
      <c r="C286" t="s">
        <v>552</v>
      </c>
      <c r="D286" t="s">
        <v>71</v>
      </c>
      <c r="E286">
        <v>2</v>
      </c>
      <c r="F286">
        <v>4</v>
      </c>
      <c r="G286" t="s">
        <v>309</v>
      </c>
      <c r="H286" t="s">
        <v>105</v>
      </c>
      <c r="I286">
        <v>4.8</v>
      </c>
      <c r="J286">
        <v>5.4</v>
      </c>
      <c r="K286">
        <v>5</v>
      </c>
      <c r="L286">
        <v>56</v>
      </c>
      <c r="M286">
        <v>119</v>
      </c>
      <c r="N286">
        <v>8</v>
      </c>
      <c r="O286">
        <v>6</v>
      </c>
      <c r="P286" t="s">
        <v>553</v>
      </c>
      <c r="Q286">
        <v>5</v>
      </c>
    </row>
    <row r="287" spans="1:17" x14ac:dyDescent="0.25">
      <c r="A287">
        <v>2025</v>
      </c>
      <c r="B287" t="s">
        <v>545</v>
      </c>
      <c r="C287" t="s">
        <v>554</v>
      </c>
      <c r="D287" t="s">
        <v>96</v>
      </c>
      <c r="E287">
        <v>2</v>
      </c>
      <c r="F287">
        <v>4</v>
      </c>
      <c r="G287" t="s">
        <v>309</v>
      </c>
      <c r="H287" t="s">
        <v>105</v>
      </c>
      <c r="I287">
        <v>7.4</v>
      </c>
      <c r="J287">
        <v>5.8</v>
      </c>
      <c r="K287">
        <v>6.7</v>
      </c>
      <c r="L287">
        <v>42</v>
      </c>
      <c r="M287">
        <v>156</v>
      </c>
      <c r="N287">
        <v>7</v>
      </c>
      <c r="O287">
        <v>6</v>
      </c>
      <c r="P287" t="s">
        <v>555</v>
      </c>
      <c r="Q287">
        <v>6.7</v>
      </c>
    </row>
    <row r="288" spans="1:17" x14ac:dyDescent="0.25">
      <c r="A288">
        <v>2025</v>
      </c>
      <c r="B288" t="s">
        <v>545</v>
      </c>
      <c r="C288" t="s">
        <v>554</v>
      </c>
      <c r="D288" t="s">
        <v>96</v>
      </c>
      <c r="E288">
        <v>2</v>
      </c>
      <c r="F288">
        <v>4</v>
      </c>
      <c r="G288" t="s">
        <v>72</v>
      </c>
      <c r="H288" t="s">
        <v>105</v>
      </c>
      <c r="I288">
        <v>7.6</v>
      </c>
      <c r="J288">
        <v>6</v>
      </c>
      <c r="K288">
        <v>6.9</v>
      </c>
      <c r="L288">
        <v>41</v>
      </c>
      <c r="M288">
        <v>161</v>
      </c>
      <c r="N288">
        <v>7</v>
      </c>
      <c r="O288">
        <v>6</v>
      </c>
      <c r="P288" t="s">
        <v>555</v>
      </c>
      <c r="Q288">
        <v>6.9</v>
      </c>
    </row>
    <row r="289" spans="1:17" x14ac:dyDescent="0.25">
      <c r="A289">
        <v>2025</v>
      </c>
      <c r="B289" t="s">
        <v>545</v>
      </c>
      <c r="C289" t="s">
        <v>556</v>
      </c>
      <c r="D289" t="s">
        <v>96</v>
      </c>
      <c r="E289">
        <v>2</v>
      </c>
      <c r="F289">
        <v>4</v>
      </c>
      <c r="G289" t="s">
        <v>309</v>
      </c>
      <c r="H289" t="s">
        <v>105</v>
      </c>
      <c r="I289">
        <v>4.7</v>
      </c>
      <c r="J289">
        <v>5.0999999999999996</v>
      </c>
      <c r="K289">
        <v>4.9000000000000004</v>
      </c>
      <c r="L289">
        <v>58</v>
      </c>
      <c r="M289">
        <v>114</v>
      </c>
      <c r="N289">
        <v>8</v>
      </c>
      <c r="O289">
        <v>6</v>
      </c>
      <c r="P289" t="s">
        <v>557</v>
      </c>
      <c r="Q289">
        <v>4.9000000000000004</v>
      </c>
    </row>
    <row r="290" spans="1:17" x14ac:dyDescent="0.25">
      <c r="A290">
        <v>2025</v>
      </c>
      <c r="B290" t="s">
        <v>545</v>
      </c>
      <c r="C290" t="s">
        <v>558</v>
      </c>
      <c r="D290" t="s">
        <v>96</v>
      </c>
      <c r="E290">
        <v>1.5</v>
      </c>
      <c r="F290">
        <v>4</v>
      </c>
      <c r="G290" t="s">
        <v>75</v>
      </c>
      <c r="H290" t="s">
        <v>73</v>
      </c>
      <c r="I290">
        <v>8.6999999999999993</v>
      </c>
      <c r="J290">
        <v>6.4</v>
      </c>
      <c r="K290">
        <v>7.7</v>
      </c>
      <c r="L290">
        <v>37</v>
      </c>
      <c r="M290">
        <v>180</v>
      </c>
      <c r="N290">
        <v>6</v>
      </c>
      <c r="O290">
        <v>5</v>
      </c>
      <c r="P290" t="s">
        <v>559</v>
      </c>
      <c r="Q290">
        <v>7.7</v>
      </c>
    </row>
    <row r="291" spans="1:17" x14ac:dyDescent="0.25">
      <c r="A291">
        <v>2025</v>
      </c>
      <c r="B291" t="s">
        <v>545</v>
      </c>
      <c r="C291" t="s">
        <v>560</v>
      </c>
      <c r="D291" t="s">
        <v>71</v>
      </c>
      <c r="E291">
        <v>2</v>
      </c>
      <c r="F291">
        <v>4</v>
      </c>
      <c r="G291" t="s">
        <v>75</v>
      </c>
      <c r="H291" t="s">
        <v>73</v>
      </c>
      <c r="I291">
        <v>10.8</v>
      </c>
      <c r="J291">
        <v>8.3000000000000007</v>
      </c>
      <c r="K291">
        <v>9.6999999999999993</v>
      </c>
      <c r="L291">
        <v>29</v>
      </c>
      <c r="M291">
        <v>224</v>
      </c>
      <c r="N291">
        <v>5</v>
      </c>
      <c r="O291">
        <v>5</v>
      </c>
      <c r="P291" t="s">
        <v>561</v>
      </c>
      <c r="Q291">
        <v>9.6999999999999993</v>
      </c>
    </row>
    <row r="292" spans="1:17" x14ac:dyDescent="0.25">
      <c r="A292">
        <v>2025</v>
      </c>
      <c r="B292" t="s">
        <v>545</v>
      </c>
      <c r="C292" t="s">
        <v>562</v>
      </c>
      <c r="D292" t="s">
        <v>79</v>
      </c>
      <c r="E292">
        <v>1.5</v>
      </c>
      <c r="F292">
        <v>4</v>
      </c>
      <c r="G292" t="s">
        <v>309</v>
      </c>
      <c r="H292" t="s">
        <v>105</v>
      </c>
      <c r="I292">
        <v>8.4</v>
      </c>
      <c r="J292">
        <v>7.1</v>
      </c>
      <c r="K292">
        <v>7.8</v>
      </c>
      <c r="L292">
        <v>36</v>
      </c>
      <c r="M292">
        <v>181</v>
      </c>
      <c r="N292">
        <v>6</v>
      </c>
      <c r="O292">
        <v>6</v>
      </c>
      <c r="P292" t="s">
        <v>563</v>
      </c>
      <c r="Q292">
        <v>7.8</v>
      </c>
    </row>
    <row r="293" spans="1:17" x14ac:dyDescent="0.25">
      <c r="A293">
        <v>2025</v>
      </c>
      <c r="B293" t="s">
        <v>545</v>
      </c>
      <c r="C293" t="s">
        <v>564</v>
      </c>
      <c r="D293" t="s">
        <v>79</v>
      </c>
      <c r="E293">
        <v>1.5</v>
      </c>
      <c r="F293">
        <v>4</v>
      </c>
      <c r="G293" t="s">
        <v>309</v>
      </c>
      <c r="H293" t="s">
        <v>105</v>
      </c>
      <c r="I293">
        <v>9.1</v>
      </c>
      <c r="J293">
        <v>7.6</v>
      </c>
      <c r="K293">
        <v>8.4</v>
      </c>
      <c r="L293">
        <v>34</v>
      </c>
      <c r="M293">
        <v>197</v>
      </c>
      <c r="N293">
        <v>6</v>
      </c>
      <c r="O293">
        <v>5</v>
      </c>
      <c r="P293" t="s">
        <v>565</v>
      </c>
      <c r="Q293">
        <v>8.4</v>
      </c>
    </row>
    <row r="294" spans="1:17" x14ac:dyDescent="0.25">
      <c r="A294">
        <v>2025</v>
      </c>
      <c r="B294" t="s">
        <v>545</v>
      </c>
      <c r="C294" t="s">
        <v>566</v>
      </c>
      <c r="D294" t="s">
        <v>79</v>
      </c>
      <c r="E294">
        <v>2</v>
      </c>
      <c r="F294">
        <v>4</v>
      </c>
      <c r="G294" t="s">
        <v>309</v>
      </c>
      <c r="H294" t="s">
        <v>105</v>
      </c>
      <c r="I294">
        <v>6</v>
      </c>
      <c r="J294">
        <v>6.9</v>
      </c>
      <c r="K294">
        <v>6.4</v>
      </c>
      <c r="L294">
        <v>44</v>
      </c>
      <c r="M294">
        <v>151</v>
      </c>
      <c r="N294">
        <v>7</v>
      </c>
      <c r="O294">
        <v>6</v>
      </c>
      <c r="P294" t="s">
        <v>567</v>
      </c>
      <c r="Q294">
        <v>6.4</v>
      </c>
    </row>
    <row r="295" spans="1:17" x14ac:dyDescent="0.25">
      <c r="A295">
        <v>2025</v>
      </c>
      <c r="B295" t="s">
        <v>545</v>
      </c>
      <c r="C295" t="s">
        <v>568</v>
      </c>
      <c r="D295" t="s">
        <v>124</v>
      </c>
      <c r="E295">
        <v>2</v>
      </c>
      <c r="F295">
        <v>4</v>
      </c>
      <c r="G295" t="s">
        <v>309</v>
      </c>
      <c r="H295" t="s">
        <v>105</v>
      </c>
      <c r="I295">
        <v>9.1</v>
      </c>
      <c r="J295">
        <v>7.4</v>
      </c>
      <c r="K295">
        <v>8.3000000000000007</v>
      </c>
      <c r="L295">
        <v>34</v>
      </c>
      <c r="M295">
        <v>194</v>
      </c>
      <c r="N295">
        <v>6</v>
      </c>
      <c r="O295">
        <v>6</v>
      </c>
      <c r="P295" t="s">
        <v>569</v>
      </c>
      <c r="Q295">
        <v>8.3000000000000007</v>
      </c>
    </row>
    <row r="296" spans="1:17" x14ac:dyDescent="0.25">
      <c r="A296">
        <v>2025</v>
      </c>
      <c r="B296" t="s">
        <v>545</v>
      </c>
      <c r="C296" t="s">
        <v>570</v>
      </c>
      <c r="D296" t="s">
        <v>124</v>
      </c>
      <c r="E296">
        <v>2</v>
      </c>
      <c r="F296">
        <v>4</v>
      </c>
      <c r="G296" t="s">
        <v>309</v>
      </c>
      <c r="H296" t="s">
        <v>105</v>
      </c>
      <c r="I296">
        <v>9.4</v>
      </c>
      <c r="J296">
        <v>7.8</v>
      </c>
      <c r="K296">
        <v>8.6999999999999993</v>
      </c>
      <c r="L296">
        <v>32</v>
      </c>
      <c r="M296">
        <v>203</v>
      </c>
      <c r="N296">
        <v>5</v>
      </c>
      <c r="O296">
        <v>6</v>
      </c>
      <c r="P296" t="s">
        <v>571</v>
      </c>
      <c r="Q296">
        <v>8.6999999999999993</v>
      </c>
    </row>
    <row r="297" spans="1:17" x14ac:dyDescent="0.25">
      <c r="A297">
        <v>2025</v>
      </c>
      <c r="B297" t="s">
        <v>545</v>
      </c>
      <c r="C297" t="s">
        <v>572</v>
      </c>
      <c r="D297" t="s">
        <v>411</v>
      </c>
      <c r="E297">
        <v>3.5</v>
      </c>
      <c r="F297">
        <v>6</v>
      </c>
      <c r="G297" t="s">
        <v>80</v>
      </c>
      <c r="H297" t="s">
        <v>105</v>
      </c>
      <c r="I297">
        <v>12.2</v>
      </c>
      <c r="J297">
        <v>8.5</v>
      </c>
      <c r="K297">
        <v>10.6</v>
      </c>
      <c r="L297">
        <v>27</v>
      </c>
      <c r="M297">
        <v>248</v>
      </c>
      <c r="N297">
        <v>5</v>
      </c>
      <c r="O297">
        <v>4</v>
      </c>
      <c r="P297" t="s">
        <v>573</v>
      </c>
      <c r="Q297">
        <v>10.6</v>
      </c>
    </row>
    <row r="298" spans="1:17" x14ac:dyDescent="0.25">
      <c r="A298">
        <v>2025</v>
      </c>
      <c r="B298" t="s">
        <v>545</v>
      </c>
      <c r="C298" t="s">
        <v>574</v>
      </c>
      <c r="D298" t="s">
        <v>79</v>
      </c>
      <c r="E298">
        <v>3.5</v>
      </c>
      <c r="F298">
        <v>6</v>
      </c>
      <c r="G298" t="s">
        <v>314</v>
      </c>
      <c r="H298" t="s">
        <v>105</v>
      </c>
      <c r="I298">
        <v>12.5</v>
      </c>
      <c r="J298">
        <v>9.8000000000000007</v>
      </c>
      <c r="K298">
        <v>11.3</v>
      </c>
      <c r="L298">
        <v>25</v>
      </c>
      <c r="M298">
        <v>265</v>
      </c>
      <c r="N298">
        <v>4</v>
      </c>
      <c r="O298">
        <v>4</v>
      </c>
      <c r="P298" t="s">
        <v>575</v>
      </c>
      <c r="Q298">
        <v>11.3</v>
      </c>
    </row>
    <row r="299" spans="1:17" x14ac:dyDescent="0.25">
      <c r="A299">
        <v>2025</v>
      </c>
      <c r="B299" t="s">
        <v>545</v>
      </c>
      <c r="C299" t="s">
        <v>576</v>
      </c>
      <c r="D299" t="s">
        <v>83</v>
      </c>
      <c r="E299">
        <v>3.5</v>
      </c>
      <c r="F299">
        <v>6</v>
      </c>
      <c r="G299" t="s">
        <v>80</v>
      </c>
      <c r="H299" t="s">
        <v>105</v>
      </c>
      <c r="I299">
        <v>12.4</v>
      </c>
      <c r="J299">
        <v>9.3000000000000007</v>
      </c>
      <c r="K299">
        <v>11</v>
      </c>
      <c r="L299">
        <v>26</v>
      </c>
      <c r="M299">
        <v>258</v>
      </c>
      <c r="N299">
        <v>4</v>
      </c>
      <c r="O299">
        <v>6</v>
      </c>
      <c r="P299" t="s">
        <v>577</v>
      </c>
      <c r="Q299">
        <v>11</v>
      </c>
    </row>
    <row r="300" spans="1:17" x14ac:dyDescent="0.25">
      <c r="A300">
        <v>2025</v>
      </c>
      <c r="B300" t="s">
        <v>545</v>
      </c>
      <c r="C300" t="s">
        <v>578</v>
      </c>
      <c r="D300" t="s">
        <v>83</v>
      </c>
      <c r="E300">
        <v>3.5</v>
      </c>
      <c r="F300">
        <v>6</v>
      </c>
      <c r="G300" t="s">
        <v>80</v>
      </c>
      <c r="H300" t="s">
        <v>105</v>
      </c>
      <c r="I300">
        <v>12.7</v>
      </c>
      <c r="J300">
        <v>9.4</v>
      </c>
      <c r="K300">
        <v>11.2</v>
      </c>
      <c r="L300">
        <v>25</v>
      </c>
      <c r="M300">
        <v>262</v>
      </c>
      <c r="N300">
        <v>4</v>
      </c>
      <c r="O300">
        <v>6</v>
      </c>
      <c r="P300" t="s">
        <v>579</v>
      </c>
      <c r="Q300">
        <v>11.2</v>
      </c>
    </row>
    <row r="301" spans="1:17" x14ac:dyDescent="0.25">
      <c r="A301">
        <v>2025</v>
      </c>
      <c r="B301" t="s">
        <v>545</v>
      </c>
      <c r="C301" t="s">
        <v>580</v>
      </c>
      <c r="D301" t="s">
        <v>83</v>
      </c>
      <c r="E301">
        <v>3.5</v>
      </c>
      <c r="F301">
        <v>6</v>
      </c>
      <c r="G301" t="s">
        <v>80</v>
      </c>
      <c r="H301" t="s">
        <v>105</v>
      </c>
      <c r="I301">
        <v>13.2</v>
      </c>
      <c r="J301">
        <v>10.1</v>
      </c>
      <c r="K301">
        <v>11.8</v>
      </c>
      <c r="L301">
        <v>24</v>
      </c>
      <c r="M301">
        <v>276</v>
      </c>
      <c r="N301">
        <v>4</v>
      </c>
      <c r="O301">
        <v>6</v>
      </c>
      <c r="P301" t="s">
        <v>581</v>
      </c>
      <c r="Q301">
        <v>11.8</v>
      </c>
    </row>
    <row r="302" spans="1:17" x14ac:dyDescent="0.25">
      <c r="A302">
        <v>2025</v>
      </c>
      <c r="B302" t="s">
        <v>545</v>
      </c>
      <c r="C302" t="s">
        <v>582</v>
      </c>
      <c r="D302" t="s">
        <v>353</v>
      </c>
      <c r="E302">
        <v>3.5</v>
      </c>
      <c r="F302">
        <v>6</v>
      </c>
      <c r="G302" t="s">
        <v>314</v>
      </c>
      <c r="H302" t="s">
        <v>105</v>
      </c>
      <c r="I302">
        <v>12.8</v>
      </c>
      <c r="J302">
        <v>9.9</v>
      </c>
      <c r="K302">
        <v>11.5</v>
      </c>
      <c r="L302">
        <v>25</v>
      </c>
      <c r="M302">
        <v>271</v>
      </c>
      <c r="N302">
        <v>4</v>
      </c>
      <c r="O302">
        <v>4</v>
      </c>
      <c r="P302" t="s">
        <v>583</v>
      </c>
      <c r="Q302">
        <v>11.5</v>
      </c>
    </row>
    <row r="303" spans="1:17" x14ac:dyDescent="0.25">
      <c r="A303">
        <v>2025</v>
      </c>
      <c r="B303" t="s">
        <v>545</v>
      </c>
      <c r="C303" t="s">
        <v>584</v>
      </c>
      <c r="D303" t="s">
        <v>353</v>
      </c>
      <c r="E303">
        <v>3.5</v>
      </c>
      <c r="F303">
        <v>6</v>
      </c>
      <c r="G303" t="s">
        <v>314</v>
      </c>
      <c r="H303" t="s">
        <v>105</v>
      </c>
      <c r="I303">
        <v>12.8</v>
      </c>
      <c r="J303">
        <v>10.199999999999999</v>
      </c>
      <c r="K303">
        <v>11.6</v>
      </c>
      <c r="L303">
        <v>24</v>
      </c>
      <c r="M303">
        <v>273</v>
      </c>
      <c r="N303">
        <v>4</v>
      </c>
      <c r="O303">
        <v>4</v>
      </c>
      <c r="P303" t="s">
        <v>585</v>
      </c>
      <c r="Q303">
        <v>11.6</v>
      </c>
    </row>
    <row r="304" spans="1:17" x14ac:dyDescent="0.25">
      <c r="A304">
        <v>2025</v>
      </c>
      <c r="B304" t="s">
        <v>586</v>
      </c>
      <c r="C304" t="s">
        <v>587</v>
      </c>
      <c r="D304" t="s">
        <v>96</v>
      </c>
      <c r="E304">
        <v>1.6</v>
      </c>
      <c r="F304">
        <v>4</v>
      </c>
      <c r="G304" t="s">
        <v>119</v>
      </c>
      <c r="H304" t="s">
        <v>105</v>
      </c>
      <c r="I304">
        <v>8.3000000000000007</v>
      </c>
      <c r="J304">
        <v>6.8</v>
      </c>
      <c r="K304">
        <v>7.6</v>
      </c>
      <c r="L304">
        <v>37</v>
      </c>
      <c r="M304">
        <v>179</v>
      </c>
      <c r="N304">
        <v>6</v>
      </c>
      <c r="O304">
        <v>4</v>
      </c>
      <c r="P304" t="s">
        <v>588</v>
      </c>
      <c r="Q304">
        <v>7.6</v>
      </c>
    </row>
    <row r="305" spans="1:17" x14ac:dyDescent="0.25">
      <c r="A305">
        <v>2025</v>
      </c>
      <c r="B305" t="s">
        <v>586</v>
      </c>
      <c r="C305" t="s">
        <v>587</v>
      </c>
      <c r="D305" t="s">
        <v>96</v>
      </c>
      <c r="E305">
        <v>2</v>
      </c>
      <c r="F305">
        <v>4</v>
      </c>
      <c r="G305" t="s">
        <v>589</v>
      </c>
      <c r="H305" t="s">
        <v>105</v>
      </c>
      <c r="I305">
        <v>7.7</v>
      </c>
      <c r="J305">
        <v>5.9</v>
      </c>
      <c r="K305">
        <v>6.9</v>
      </c>
      <c r="L305">
        <v>41</v>
      </c>
      <c r="M305">
        <v>160</v>
      </c>
      <c r="N305">
        <v>7</v>
      </c>
      <c r="O305">
        <v>6</v>
      </c>
      <c r="P305" t="s">
        <v>588</v>
      </c>
      <c r="Q305">
        <v>6.9</v>
      </c>
    </row>
    <row r="306" spans="1:17" x14ac:dyDescent="0.25">
      <c r="A306">
        <v>2025</v>
      </c>
      <c r="B306" t="s">
        <v>586</v>
      </c>
      <c r="C306" t="s">
        <v>590</v>
      </c>
      <c r="D306" t="s">
        <v>96</v>
      </c>
      <c r="E306">
        <v>2</v>
      </c>
      <c r="F306">
        <v>4</v>
      </c>
      <c r="G306" t="s">
        <v>589</v>
      </c>
      <c r="H306" t="s">
        <v>105</v>
      </c>
      <c r="I306">
        <v>7.3</v>
      </c>
      <c r="J306">
        <v>5.7</v>
      </c>
      <c r="K306">
        <v>6.5</v>
      </c>
      <c r="L306">
        <v>43</v>
      </c>
      <c r="M306">
        <v>153</v>
      </c>
      <c r="N306">
        <v>7</v>
      </c>
      <c r="O306">
        <v>6</v>
      </c>
      <c r="P306" t="s">
        <v>591</v>
      </c>
      <c r="Q306">
        <v>6.5</v>
      </c>
    </row>
    <row r="307" spans="1:17" x14ac:dyDescent="0.25">
      <c r="A307">
        <v>2025</v>
      </c>
      <c r="B307" t="s">
        <v>586</v>
      </c>
      <c r="C307" t="s">
        <v>592</v>
      </c>
      <c r="D307" t="s">
        <v>96</v>
      </c>
      <c r="E307">
        <v>1.6</v>
      </c>
      <c r="F307">
        <v>4</v>
      </c>
      <c r="G307" t="s">
        <v>593</v>
      </c>
      <c r="H307" t="s">
        <v>105</v>
      </c>
      <c r="I307">
        <v>4.8</v>
      </c>
      <c r="J307">
        <v>4.5</v>
      </c>
      <c r="K307">
        <v>4.7</v>
      </c>
      <c r="L307">
        <v>60</v>
      </c>
      <c r="M307">
        <v>110</v>
      </c>
      <c r="N307">
        <v>8</v>
      </c>
      <c r="O307">
        <v>6</v>
      </c>
      <c r="P307" t="s">
        <v>594</v>
      </c>
      <c r="Q307">
        <v>4.7</v>
      </c>
    </row>
    <row r="308" spans="1:17" x14ac:dyDescent="0.25">
      <c r="A308">
        <v>2025</v>
      </c>
      <c r="B308" t="s">
        <v>586</v>
      </c>
      <c r="C308" t="s">
        <v>595</v>
      </c>
      <c r="D308" t="s">
        <v>96</v>
      </c>
      <c r="E308">
        <v>2</v>
      </c>
      <c r="F308">
        <v>4</v>
      </c>
      <c r="G308" t="s">
        <v>426</v>
      </c>
      <c r="H308" t="s">
        <v>73</v>
      </c>
      <c r="I308">
        <v>11.8</v>
      </c>
      <c r="J308">
        <v>8.6</v>
      </c>
      <c r="K308">
        <v>10.4</v>
      </c>
      <c r="L308">
        <v>27</v>
      </c>
      <c r="M308">
        <v>244</v>
      </c>
      <c r="N308">
        <v>5</v>
      </c>
      <c r="O308">
        <v>2</v>
      </c>
      <c r="P308" t="s">
        <v>596</v>
      </c>
      <c r="Q308">
        <v>10.4</v>
      </c>
    </row>
    <row r="309" spans="1:17" x14ac:dyDescent="0.25">
      <c r="A309">
        <v>2025</v>
      </c>
      <c r="B309" t="s">
        <v>586</v>
      </c>
      <c r="C309" t="s">
        <v>595</v>
      </c>
      <c r="D309" t="s">
        <v>96</v>
      </c>
      <c r="E309">
        <v>2</v>
      </c>
      <c r="F309">
        <v>4</v>
      </c>
      <c r="G309" t="s">
        <v>75</v>
      </c>
      <c r="H309" t="s">
        <v>73</v>
      </c>
      <c r="I309">
        <v>11</v>
      </c>
      <c r="J309">
        <v>8.1</v>
      </c>
      <c r="K309">
        <v>9.6999999999999993</v>
      </c>
      <c r="L309">
        <v>29</v>
      </c>
      <c r="M309">
        <v>227</v>
      </c>
      <c r="N309">
        <v>5</v>
      </c>
      <c r="O309">
        <v>2</v>
      </c>
      <c r="P309" t="s">
        <v>596</v>
      </c>
      <c r="Q309">
        <v>9.6999999999999993</v>
      </c>
    </row>
    <row r="310" spans="1:17" x14ac:dyDescent="0.25">
      <c r="A310">
        <v>2025</v>
      </c>
      <c r="B310" t="s">
        <v>586</v>
      </c>
      <c r="C310" t="s">
        <v>597</v>
      </c>
      <c r="D310" t="s">
        <v>79</v>
      </c>
      <c r="E310">
        <v>2</v>
      </c>
      <c r="F310">
        <v>4</v>
      </c>
      <c r="G310" t="s">
        <v>589</v>
      </c>
      <c r="H310" t="s">
        <v>105</v>
      </c>
      <c r="I310">
        <v>8.4</v>
      </c>
      <c r="J310">
        <v>6.7</v>
      </c>
      <c r="K310">
        <v>7.6</v>
      </c>
      <c r="L310">
        <v>37</v>
      </c>
      <c r="M310">
        <v>179</v>
      </c>
      <c r="N310">
        <v>6</v>
      </c>
      <c r="O310">
        <v>6</v>
      </c>
      <c r="P310" t="s">
        <v>598</v>
      </c>
      <c r="Q310">
        <v>7.6</v>
      </c>
    </row>
    <row r="311" spans="1:17" x14ac:dyDescent="0.25">
      <c r="A311">
        <v>2025</v>
      </c>
      <c r="B311" t="s">
        <v>586</v>
      </c>
      <c r="C311" t="s">
        <v>599</v>
      </c>
      <c r="D311" t="s">
        <v>79</v>
      </c>
      <c r="E311">
        <v>2</v>
      </c>
      <c r="F311">
        <v>4</v>
      </c>
      <c r="G311" t="s">
        <v>589</v>
      </c>
      <c r="H311" t="s">
        <v>105</v>
      </c>
      <c r="I311">
        <v>8.1</v>
      </c>
      <c r="J311">
        <v>6.8</v>
      </c>
      <c r="K311">
        <v>7.5</v>
      </c>
      <c r="L311">
        <v>38</v>
      </c>
      <c r="M311">
        <v>177</v>
      </c>
      <c r="N311">
        <v>6</v>
      </c>
      <c r="O311">
        <v>6</v>
      </c>
      <c r="P311" t="s">
        <v>600</v>
      </c>
      <c r="Q311">
        <v>7.5</v>
      </c>
    </row>
    <row r="312" spans="1:17" x14ac:dyDescent="0.25">
      <c r="A312">
        <v>2025</v>
      </c>
      <c r="B312" t="s">
        <v>586</v>
      </c>
      <c r="C312" t="s">
        <v>601</v>
      </c>
      <c r="D312" t="s">
        <v>79</v>
      </c>
      <c r="E312">
        <v>1.6</v>
      </c>
      <c r="F312">
        <v>4</v>
      </c>
      <c r="G312" t="s">
        <v>142</v>
      </c>
      <c r="H312" t="s">
        <v>105</v>
      </c>
      <c r="I312">
        <v>9.6</v>
      </c>
      <c r="J312">
        <v>8.1999999999999993</v>
      </c>
      <c r="K312">
        <v>9</v>
      </c>
      <c r="L312">
        <v>31</v>
      </c>
      <c r="M312">
        <v>212</v>
      </c>
      <c r="N312">
        <v>5</v>
      </c>
      <c r="O312">
        <v>6</v>
      </c>
      <c r="P312" t="s">
        <v>602</v>
      </c>
      <c r="Q312">
        <v>9</v>
      </c>
    </row>
    <row r="313" spans="1:17" x14ac:dyDescent="0.25">
      <c r="A313">
        <v>2025</v>
      </c>
      <c r="B313" t="s">
        <v>586</v>
      </c>
      <c r="C313" t="s">
        <v>601</v>
      </c>
      <c r="D313" t="s">
        <v>79</v>
      </c>
      <c r="E313">
        <v>2</v>
      </c>
      <c r="F313">
        <v>4</v>
      </c>
      <c r="G313" t="s">
        <v>589</v>
      </c>
      <c r="H313" t="s">
        <v>105</v>
      </c>
      <c r="I313">
        <v>9</v>
      </c>
      <c r="J313">
        <v>8.1</v>
      </c>
      <c r="K313">
        <v>8.6</v>
      </c>
      <c r="L313">
        <v>33</v>
      </c>
      <c r="M313">
        <v>201</v>
      </c>
      <c r="N313">
        <v>6</v>
      </c>
      <c r="O313">
        <v>6</v>
      </c>
      <c r="P313" t="s">
        <v>602</v>
      </c>
      <c r="Q313">
        <v>8.6</v>
      </c>
    </row>
    <row r="314" spans="1:17" x14ac:dyDescent="0.25">
      <c r="A314">
        <v>2025</v>
      </c>
      <c r="B314" t="s">
        <v>586</v>
      </c>
      <c r="C314" t="s">
        <v>603</v>
      </c>
      <c r="D314" t="s">
        <v>79</v>
      </c>
      <c r="E314">
        <v>2</v>
      </c>
      <c r="F314">
        <v>4</v>
      </c>
      <c r="G314" t="s">
        <v>589</v>
      </c>
      <c r="H314" t="s">
        <v>105</v>
      </c>
      <c r="I314">
        <v>8.8000000000000007</v>
      </c>
      <c r="J314">
        <v>8.1</v>
      </c>
      <c r="K314">
        <v>8.5</v>
      </c>
      <c r="L314">
        <v>33</v>
      </c>
      <c r="M314">
        <v>198</v>
      </c>
      <c r="N314">
        <v>6</v>
      </c>
      <c r="O314">
        <v>6</v>
      </c>
      <c r="P314" t="s">
        <v>604</v>
      </c>
      <c r="Q314">
        <v>8.5</v>
      </c>
    </row>
    <row r="315" spans="1:17" x14ac:dyDescent="0.25">
      <c r="A315">
        <v>2025</v>
      </c>
      <c r="B315" t="s">
        <v>586</v>
      </c>
      <c r="C315" t="s">
        <v>605</v>
      </c>
      <c r="D315" t="s">
        <v>79</v>
      </c>
      <c r="E315">
        <v>3.8</v>
      </c>
      <c r="F315">
        <v>6</v>
      </c>
      <c r="G315" t="s">
        <v>142</v>
      </c>
      <c r="H315" t="s">
        <v>105</v>
      </c>
      <c r="I315">
        <v>12.2</v>
      </c>
      <c r="J315">
        <v>9.6999999999999993</v>
      </c>
      <c r="K315">
        <v>11.1</v>
      </c>
      <c r="L315">
        <v>25</v>
      </c>
      <c r="M315">
        <v>261</v>
      </c>
      <c r="N315">
        <v>4</v>
      </c>
      <c r="O315">
        <v>5</v>
      </c>
      <c r="P315" t="s">
        <v>606</v>
      </c>
      <c r="Q315">
        <v>11.1</v>
      </c>
    </row>
    <row r="316" spans="1:17" x14ac:dyDescent="0.25">
      <c r="A316">
        <v>2025</v>
      </c>
      <c r="B316" t="s">
        <v>586</v>
      </c>
      <c r="C316" t="s">
        <v>607</v>
      </c>
      <c r="D316" t="s">
        <v>79</v>
      </c>
      <c r="E316">
        <v>2.5</v>
      </c>
      <c r="F316">
        <v>4</v>
      </c>
      <c r="G316" t="s">
        <v>426</v>
      </c>
      <c r="H316" t="s">
        <v>105</v>
      </c>
      <c r="I316">
        <v>12.4</v>
      </c>
      <c r="J316">
        <v>8.5</v>
      </c>
      <c r="K316">
        <v>10.7</v>
      </c>
      <c r="L316">
        <v>26</v>
      </c>
      <c r="M316">
        <v>251</v>
      </c>
      <c r="N316">
        <v>5</v>
      </c>
      <c r="O316">
        <v>6</v>
      </c>
      <c r="P316" t="s">
        <v>608</v>
      </c>
      <c r="Q316">
        <v>10.7</v>
      </c>
    </row>
    <row r="317" spans="1:17" x14ac:dyDescent="0.25">
      <c r="A317">
        <v>2025</v>
      </c>
      <c r="B317" t="s">
        <v>586</v>
      </c>
      <c r="C317" t="s">
        <v>609</v>
      </c>
      <c r="D317" t="s">
        <v>79</v>
      </c>
      <c r="E317">
        <v>2.5</v>
      </c>
      <c r="F317">
        <v>4</v>
      </c>
      <c r="G317" t="s">
        <v>426</v>
      </c>
      <c r="H317" t="s">
        <v>105</v>
      </c>
      <c r="I317">
        <v>12.8</v>
      </c>
      <c r="J317">
        <v>8.9</v>
      </c>
      <c r="K317">
        <v>11.1</v>
      </c>
      <c r="L317">
        <v>25</v>
      </c>
      <c r="M317">
        <v>260</v>
      </c>
      <c r="N317">
        <v>4</v>
      </c>
      <c r="O317">
        <v>6</v>
      </c>
      <c r="P317" t="s">
        <v>610</v>
      </c>
      <c r="Q317">
        <v>11.1</v>
      </c>
    </row>
    <row r="318" spans="1:17" x14ac:dyDescent="0.25">
      <c r="A318">
        <v>2025</v>
      </c>
      <c r="B318" t="s">
        <v>586</v>
      </c>
      <c r="C318" t="s">
        <v>611</v>
      </c>
      <c r="D318" t="s">
        <v>79</v>
      </c>
      <c r="E318">
        <v>2.5</v>
      </c>
      <c r="F318">
        <v>4</v>
      </c>
      <c r="G318" t="s">
        <v>426</v>
      </c>
      <c r="H318" t="s">
        <v>105</v>
      </c>
      <c r="I318">
        <v>12.1</v>
      </c>
      <c r="J318">
        <v>8.8000000000000007</v>
      </c>
      <c r="K318">
        <v>10.6</v>
      </c>
      <c r="L318">
        <v>27</v>
      </c>
      <c r="M318">
        <v>249</v>
      </c>
      <c r="N318">
        <v>5</v>
      </c>
      <c r="O318">
        <v>6</v>
      </c>
      <c r="P318" t="s">
        <v>612</v>
      </c>
      <c r="Q318">
        <v>10.6</v>
      </c>
    </row>
    <row r="319" spans="1:17" x14ac:dyDescent="0.25">
      <c r="A319">
        <v>2025</v>
      </c>
      <c r="B319" t="s">
        <v>586</v>
      </c>
      <c r="C319" t="s">
        <v>613</v>
      </c>
      <c r="D319" t="s">
        <v>79</v>
      </c>
      <c r="E319">
        <v>2.5</v>
      </c>
      <c r="F319">
        <v>4</v>
      </c>
      <c r="G319" t="s">
        <v>426</v>
      </c>
      <c r="H319" t="s">
        <v>105</v>
      </c>
      <c r="I319">
        <v>12.2</v>
      </c>
      <c r="J319">
        <v>9.1</v>
      </c>
      <c r="K319">
        <v>10.8</v>
      </c>
      <c r="L319">
        <v>26</v>
      </c>
      <c r="M319">
        <v>254</v>
      </c>
      <c r="N319">
        <v>5</v>
      </c>
      <c r="O319">
        <v>6</v>
      </c>
      <c r="P319" t="s">
        <v>614</v>
      </c>
      <c r="Q319">
        <v>10.8</v>
      </c>
    </row>
    <row r="320" spans="1:17" x14ac:dyDescent="0.25">
      <c r="A320">
        <v>2025</v>
      </c>
      <c r="B320" t="s">
        <v>586</v>
      </c>
      <c r="C320" t="s">
        <v>615</v>
      </c>
      <c r="D320" t="s">
        <v>79</v>
      </c>
      <c r="E320">
        <v>1.6</v>
      </c>
      <c r="F320">
        <v>4</v>
      </c>
      <c r="G320" t="s">
        <v>593</v>
      </c>
      <c r="H320" t="s">
        <v>105</v>
      </c>
      <c r="I320">
        <v>6.8</v>
      </c>
      <c r="J320">
        <v>6.9</v>
      </c>
      <c r="K320">
        <v>6.9</v>
      </c>
      <c r="L320">
        <v>41</v>
      </c>
      <c r="M320">
        <v>161</v>
      </c>
      <c r="N320">
        <v>7</v>
      </c>
      <c r="O320">
        <v>6</v>
      </c>
      <c r="P320" t="s">
        <v>616</v>
      </c>
      <c r="Q320">
        <v>6.9</v>
      </c>
    </row>
    <row r="321" spans="1:17" x14ac:dyDescent="0.25">
      <c r="A321">
        <v>2025</v>
      </c>
      <c r="B321" t="s">
        <v>586</v>
      </c>
      <c r="C321" t="s">
        <v>617</v>
      </c>
      <c r="D321" t="s">
        <v>71</v>
      </c>
      <c r="E321">
        <v>2.5</v>
      </c>
      <c r="F321">
        <v>4</v>
      </c>
      <c r="G321" t="s">
        <v>426</v>
      </c>
      <c r="H321" t="s">
        <v>105</v>
      </c>
      <c r="I321">
        <v>10.1</v>
      </c>
      <c r="J321">
        <v>7.3</v>
      </c>
      <c r="K321">
        <v>8.8000000000000007</v>
      </c>
      <c r="L321">
        <v>32</v>
      </c>
      <c r="M321">
        <v>207</v>
      </c>
      <c r="N321">
        <v>5</v>
      </c>
      <c r="O321">
        <v>4</v>
      </c>
      <c r="P321" t="s">
        <v>618</v>
      </c>
      <c r="Q321">
        <v>8.8000000000000007</v>
      </c>
    </row>
    <row r="322" spans="1:17" x14ac:dyDescent="0.25">
      <c r="A322">
        <v>2025</v>
      </c>
      <c r="B322" t="s">
        <v>586</v>
      </c>
      <c r="C322" t="s">
        <v>617</v>
      </c>
      <c r="D322" t="s">
        <v>71</v>
      </c>
      <c r="E322">
        <v>2.5</v>
      </c>
      <c r="F322">
        <v>4</v>
      </c>
      <c r="G322" t="s">
        <v>142</v>
      </c>
      <c r="H322" t="s">
        <v>105</v>
      </c>
      <c r="I322">
        <v>9.6</v>
      </c>
      <c r="J322">
        <v>6.5</v>
      </c>
      <c r="K322">
        <v>8.1999999999999993</v>
      </c>
      <c r="L322">
        <v>34</v>
      </c>
      <c r="M322">
        <v>193</v>
      </c>
      <c r="N322">
        <v>6</v>
      </c>
      <c r="O322">
        <v>6</v>
      </c>
      <c r="P322" t="s">
        <v>618</v>
      </c>
      <c r="Q322">
        <v>8.1999999999999993</v>
      </c>
    </row>
    <row r="323" spans="1:17" x14ac:dyDescent="0.25">
      <c r="A323">
        <v>2025</v>
      </c>
      <c r="B323" t="s">
        <v>586</v>
      </c>
      <c r="C323" t="s">
        <v>619</v>
      </c>
      <c r="D323" t="s">
        <v>71</v>
      </c>
      <c r="E323">
        <v>2.5</v>
      </c>
      <c r="F323">
        <v>4</v>
      </c>
      <c r="G323" t="s">
        <v>142</v>
      </c>
      <c r="H323" t="s">
        <v>105</v>
      </c>
      <c r="I323">
        <v>9.9</v>
      </c>
      <c r="J323">
        <v>7</v>
      </c>
      <c r="K323">
        <v>8.6</v>
      </c>
      <c r="L323">
        <v>33</v>
      </c>
      <c r="M323">
        <v>203</v>
      </c>
      <c r="N323">
        <v>5</v>
      </c>
      <c r="O323">
        <v>6</v>
      </c>
      <c r="P323" t="s">
        <v>620</v>
      </c>
      <c r="Q323">
        <v>8.6</v>
      </c>
    </row>
    <row r="324" spans="1:17" x14ac:dyDescent="0.25">
      <c r="A324">
        <v>2025</v>
      </c>
      <c r="B324" t="s">
        <v>586</v>
      </c>
      <c r="C324" t="s">
        <v>621</v>
      </c>
      <c r="D324" t="s">
        <v>71</v>
      </c>
      <c r="E324">
        <v>2</v>
      </c>
      <c r="F324">
        <v>4</v>
      </c>
      <c r="G324" t="s">
        <v>593</v>
      </c>
      <c r="H324" t="s">
        <v>105</v>
      </c>
      <c r="I324">
        <v>5.3</v>
      </c>
      <c r="J324">
        <v>4.5999999999999996</v>
      </c>
      <c r="K324">
        <v>5</v>
      </c>
      <c r="L324">
        <v>56</v>
      </c>
      <c r="M324">
        <v>117</v>
      </c>
      <c r="N324">
        <v>8</v>
      </c>
      <c r="O324">
        <v>6</v>
      </c>
      <c r="P324" t="s">
        <v>622</v>
      </c>
      <c r="Q324">
        <v>5</v>
      </c>
    </row>
    <row r="325" spans="1:17" x14ac:dyDescent="0.25">
      <c r="A325">
        <v>2025</v>
      </c>
      <c r="B325" t="s">
        <v>586</v>
      </c>
      <c r="C325" t="s">
        <v>623</v>
      </c>
      <c r="D325" t="s">
        <v>79</v>
      </c>
      <c r="E325">
        <v>2.5</v>
      </c>
      <c r="F325">
        <v>4</v>
      </c>
      <c r="G325" t="s">
        <v>142</v>
      </c>
      <c r="H325" t="s">
        <v>105</v>
      </c>
      <c r="I325">
        <v>9.6999999999999993</v>
      </c>
      <c r="J325">
        <v>7.7</v>
      </c>
      <c r="K325">
        <v>8.8000000000000007</v>
      </c>
      <c r="L325">
        <v>32</v>
      </c>
      <c r="M325">
        <v>207</v>
      </c>
      <c r="N325">
        <v>5</v>
      </c>
      <c r="O325">
        <v>6</v>
      </c>
      <c r="P325" t="s">
        <v>624</v>
      </c>
      <c r="Q325">
        <v>8.8000000000000007</v>
      </c>
    </row>
    <row r="326" spans="1:17" x14ac:dyDescent="0.25">
      <c r="A326">
        <v>2025</v>
      </c>
      <c r="B326" t="s">
        <v>586</v>
      </c>
      <c r="C326" t="s">
        <v>625</v>
      </c>
      <c r="D326" t="s">
        <v>79</v>
      </c>
      <c r="E326">
        <v>1.6</v>
      </c>
      <c r="F326">
        <v>4</v>
      </c>
      <c r="G326" t="s">
        <v>593</v>
      </c>
      <c r="H326" t="s">
        <v>105</v>
      </c>
      <c r="I326">
        <v>6.7</v>
      </c>
      <c r="J326">
        <v>6.7</v>
      </c>
      <c r="K326">
        <v>6.7</v>
      </c>
      <c r="L326">
        <v>42</v>
      </c>
      <c r="M326">
        <v>157</v>
      </c>
      <c r="N326">
        <v>7</v>
      </c>
      <c r="O326">
        <v>6</v>
      </c>
      <c r="P326" t="s">
        <v>626</v>
      </c>
      <c r="Q326">
        <v>6.7</v>
      </c>
    </row>
    <row r="327" spans="1:17" x14ac:dyDescent="0.25">
      <c r="A327">
        <v>2025</v>
      </c>
      <c r="B327" t="s">
        <v>586</v>
      </c>
      <c r="C327" t="s">
        <v>627</v>
      </c>
      <c r="D327" t="s">
        <v>79</v>
      </c>
      <c r="E327">
        <v>1.6</v>
      </c>
      <c r="F327">
        <v>4</v>
      </c>
      <c r="G327" t="s">
        <v>589</v>
      </c>
      <c r="H327" t="s">
        <v>105</v>
      </c>
      <c r="I327">
        <v>7.9</v>
      </c>
      <c r="J327">
        <v>6.9</v>
      </c>
      <c r="K327">
        <v>7.5</v>
      </c>
      <c r="L327">
        <v>38</v>
      </c>
      <c r="M327">
        <v>177</v>
      </c>
      <c r="N327">
        <v>6</v>
      </c>
      <c r="O327">
        <v>4</v>
      </c>
      <c r="P327" t="s">
        <v>628</v>
      </c>
      <c r="Q327">
        <v>7.5</v>
      </c>
    </row>
    <row r="328" spans="1:17" x14ac:dyDescent="0.25">
      <c r="A328">
        <v>2025</v>
      </c>
      <c r="B328" t="s">
        <v>629</v>
      </c>
      <c r="C328" t="s">
        <v>630</v>
      </c>
      <c r="D328" t="s">
        <v>79</v>
      </c>
      <c r="E328">
        <v>2</v>
      </c>
      <c r="F328">
        <v>4</v>
      </c>
      <c r="G328" t="s">
        <v>631</v>
      </c>
      <c r="H328" t="s">
        <v>73</v>
      </c>
      <c r="I328">
        <v>10.8</v>
      </c>
      <c r="J328">
        <v>8.3000000000000007</v>
      </c>
      <c r="K328">
        <v>9.6999999999999993</v>
      </c>
      <c r="L328">
        <v>29</v>
      </c>
      <c r="M328">
        <v>228</v>
      </c>
      <c r="N328">
        <v>5</v>
      </c>
      <c r="O328">
        <v>5</v>
      </c>
      <c r="P328" t="s">
        <v>632</v>
      </c>
      <c r="Q328">
        <v>9.6999999999999993</v>
      </c>
    </row>
    <row r="329" spans="1:17" x14ac:dyDescent="0.25">
      <c r="A329">
        <v>2025</v>
      </c>
      <c r="B329" t="s">
        <v>629</v>
      </c>
      <c r="C329" t="s">
        <v>633</v>
      </c>
      <c r="D329" t="s">
        <v>79</v>
      </c>
      <c r="E329">
        <v>2</v>
      </c>
      <c r="F329">
        <v>4</v>
      </c>
      <c r="G329" t="s">
        <v>631</v>
      </c>
      <c r="H329" t="s">
        <v>73</v>
      </c>
      <c r="I329">
        <v>10.4</v>
      </c>
      <c r="J329">
        <v>8.3000000000000007</v>
      </c>
      <c r="K329">
        <v>9.4</v>
      </c>
      <c r="L329">
        <v>30</v>
      </c>
      <c r="M329">
        <v>222</v>
      </c>
      <c r="N329">
        <v>5</v>
      </c>
      <c r="O329">
        <v>5</v>
      </c>
      <c r="P329" t="s">
        <v>634</v>
      </c>
      <c r="Q329">
        <v>9.4</v>
      </c>
    </row>
    <row r="330" spans="1:17" x14ac:dyDescent="0.25">
      <c r="A330">
        <v>2025</v>
      </c>
      <c r="B330" t="s">
        <v>629</v>
      </c>
      <c r="C330" t="s">
        <v>635</v>
      </c>
      <c r="D330" t="s">
        <v>83</v>
      </c>
      <c r="E330">
        <v>2</v>
      </c>
      <c r="F330">
        <v>4</v>
      </c>
      <c r="G330" t="s">
        <v>314</v>
      </c>
      <c r="H330" t="s">
        <v>73</v>
      </c>
      <c r="I330">
        <v>10.9</v>
      </c>
      <c r="J330">
        <v>8.8000000000000007</v>
      </c>
      <c r="K330">
        <v>10</v>
      </c>
      <c r="L330">
        <v>28</v>
      </c>
      <c r="M330">
        <v>235</v>
      </c>
      <c r="N330">
        <v>5</v>
      </c>
      <c r="O330">
        <v>5</v>
      </c>
      <c r="P330" t="s">
        <v>636</v>
      </c>
      <c r="Q330">
        <v>10</v>
      </c>
    </row>
    <row r="331" spans="1:17" x14ac:dyDescent="0.25">
      <c r="A331">
        <v>2025</v>
      </c>
      <c r="B331" t="s">
        <v>629</v>
      </c>
      <c r="C331" t="s">
        <v>637</v>
      </c>
      <c r="D331" t="s">
        <v>83</v>
      </c>
      <c r="E331">
        <v>3.5</v>
      </c>
      <c r="F331">
        <v>6</v>
      </c>
      <c r="G331" t="s">
        <v>314</v>
      </c>
      <c r="H331" t="s">
        <v>73</v>
      </c>
      <c r="I331">
        <v>15.1</v>
      </c>
      <c r="J331">
        <v>12.2</v>
      </c>
      <c r="K331">
        <v>13.8</v>
      </c>
      <c r="L331">
        <v>20</v>
      </c>
      <c r="M331">
        <v>324</v>
      </c>
      <c r="N331">
        <v>3</v>
      </c>
      <c r="O331">
        <v>5</v>
      </c>
      <c r="P331" t="s">
        <v>638</v>
      </c>
      <c r="Q331">
        <v>13.8</v>
      </c>
    </row>
    <row r="332" spans="1:17" x14ac:dyDescent="0.25">
      <c r="A332">
        <v>2025</v>
      </c>
      <c r="B332" t="s">
        <v>639</v>
      </c>
      <c r="C332" t="s">
        <v>640</v>
      </c>
      <c r="D332" t="s">
        <v>79</v>
      </c>
      <c r="E332">
        <v>2</v>
      </c>
      <c r="F332">
        <v>4</v>
      </c>
      <c r="G332" t="s">
        <v>142</v>
      </c>
      <c r="H332" t="s">
        <v>73</v>
      </c>
      <c r="I332">
        <v>10.8</v>
      </c>
      <c r="J332">
        <v>8.8000000000000007</v>
      </c>
      <c r="K332">
        <v>9.9</v>
      </c>
      <c r="L332">
        <v>29</v>
      </c>
      <c r="M332">
        <v>234</v>
      </c>
      <c r="N332">
        <v>5</v>
      </c>
      <c r="O332">
        <v>6</v>
      </c>
      <c r="P332" t="s">
        <v>641</v>
      </c>
      <c r="Q332">
        <v>9.9</v>
      </c>
    </row>
    <row r="333" spans="1:17" x14ac:dyDescent="0.25">
      <c r="A333">
        <v>2025</v>
      </c>
      <c r="B333" t="s">
        <v>639</v>
      </c>
      <c r="C333" t="s">
        <v>642</v>
      </c>
      <c r="D333" t="s">
        <v>79</v>
      </c>
      <c r="E333">
        <v>3</v>
      </c>
      <c r="F333">
        <v>6</v>
      </c>
      <c r="G333" t="s">
        <v>142</v>
      </c>
      <c r="H333" t="s">
        <v>73</v>
      </c>
      <c r="I333">
        <v>12.6</v>
      </c>
      <c r="J333">
        <v>9.4</v>
      </c>
      <c r="K333">
        <v>11.1</v>
      </c>
      <c r="L333">
        <v>25</v>
      </c>
      <c r="M333">
        <v>261</v>
      </c>
      <c r="N333">
        <v>4</v>
      </c>
      <c r="O333">
        <v>6</v>
      </c>
      <c r="P333" t="s">
        <v>643</v>
      </c>
      <c r="Q333">
        <v>11.1</v>
      </c>
    </row>
    <row r="334" spans="1:17" x14ac:dyDescent="0.25">
      <c r="A334">
        <v>2025</v>
      </c>
      <c r="B334" t="s">
        <v>639</v>
      </c>
      <c r="C334" t="s">
        <v>644</v>
      </c>
      <c r="D334" t="s">
        <v>79</v>
      </c>
      <c r="E334">
        <v>5</v>
      </c>
      <c r="F334">
        <v>8</v>
      </c>
      <c r="G334" t="s">
        <v>142</v>
      </c>
      <c r="H334" t="s">
        <v>73</v>
      </c>
      <c r="I334">
        <v>15.7</v>
      </c>
      <c r="J334">
        <v>11.4</v>
      </c>
      <c r="K334">
        <v>13.8</v>
      </c>
      <c r="L334">
        <v>20</v>
      </c>
      <c r="M334">
        <v>322</v>
      </c>
      <c r="N334">
        <v>3</v>
      </c>
      <c r="O334">
        <v>2</v>
      </c>
      <c r="P334" t="s">
        <v>645</v>
      </c>
      <c r="Q334">
        <v>13.8</v>
      </c>
    </row>
    <row r="335" spans="1:17" x14ac:dyDescent="0.25">
      <c r="A335">
        <v>2025</v>
      </c>
      <c r="B335" t="s">
        <v>646</v>
      </c>
      <c r="C335" t="s">
        <v>647</v>
      </c>
      <c r="D335" t="s">
        <v>79</v>
      </c>
      <c r="E335">
        <v>2</v>
      </c>
      <c r="F335">
        <v>4</v>
      </c>
      <c r="G335" t="s">
        <v>97</v>
      </c>
      <c r="H335" t="s">
        <v>105</v>
      </c>
      <c r="I335">
        <v>9.9</v>
      </c>
      <c r="J335">
        <v>7.4</v>
      </c>
      <c r="K335">
        <v>8.8000000000000007</v>
      </c>
      <c r="L335">
        <v>32</v>
      </c>
      <c r="M335">
        <v>205</v>
      </c>
      <c r="N335">
        <v>5</v>
      </c>
      <c r="O335">
        <v>6</v>
      </c>
      <c r="P335" t="s">
        <v>648</v>
      </c>
      <c r="Q335">
        <v>8.8000000000000007</v>
      </c>
    </row>
    <row r="336" spans="1:17" x14ac:dyDescent="0.25">
      <c r="A336">
        <v>2025</v>
      </c>
      <c r="B336" t="s">
        <v>646</v>
      </c>
      <c r="C336" t="s">
        <v>649</v>
      </c>
      <c r="D336" t="s">
        <v>353</v>
      </c>
      <c r="E336">
        <v>3.6</v>
      </c>
      <c r="F336">
        <v>6</v>
      </c>
      <c r="G336" t="s">
        <v>97</v>
      </c>
      <c r="H336" t="s">
        <v>105</v>
      </c>
      <c r="I336">
        <v>13.7</v>
      </c>
      <c r="J336">
        <v>10.7</v>
      </c>
      <c r="K336">
        <v>12.3</v>
      </c>
      <c r="L336">
        <v>23</v>
      </c>
      <c r="M336">
        <v>290</v>
      </c>
      <c r="N336">
        <v>4</v>
      </c>
      <c r="O336">
        <v>6</v>
      </c>
      <c r="P336" t="s">
        <v>650</v>
      </c>
      <c r="Q336">
        <v>12.3</v>
      </c>
    </row>
    <row r="337" spans="1:17" x14ac:dyDescent="0.25">
      <c r="A337">
        <v>2025</v>
      </c>
      <c r="B337" t="s">
        <v>646</v>
      </c>
      <c r="C337" t="s">
        <v>651</v>
      </c>
      <c r="D337" t="s">
        <v>83</v>
      </c>
      <c r="E337">
        <v>3.6</v>
      </c>
      <c r="F337">
        <v>6</v>
      </c>
      <c r="G337" t="s">
        <v>97</v>
      </c>
      <c r="H337" t="s">
        <v>105</v>
      </c>
      <c r="I337">
        <v>12.3</v>
      </c>
      <c r="J337">
        <v>9.1999999999999993</v>
      </c>
      <c r="K337">
        <v>10.9</v>
      </c>
      <c r="L337">
        <v>26</v>
      </c>
      <c r="M337">
        <v>256</v>
      </c>
      <c r="N337">
        <v>5</v>
      </c>
      <c r="O337">
        <v>6</v>
      </c>
      <c r="P337" t="s">
        <v>652</v>
      </c>
      <c r="Q337">
        <v>10.9</v>
      </c>
    </row>
    <row r="338" spans="1:17" x14ac:dyDescent="0.25">
      <c r="A338">
        <v>2025</v>
      </c>
      <c r="B338" t="s">
        <v>646</v>
      </c>
      <c r="C338" t="s">
        <v>653</v>
      </c>
      <c r="D338" t="s">
        <v>83</v>
      </c>
      <c r="E338">
        <v>3.6</v>
      </c>
      <c r="F338">
        <v>6</v>
      </c>
      <c r="G338" t="s">
        <v>97</v>
      </c>
      <c r="H338" t="s">
        <v>105</v>
      </c>
      <c r="I338">
        <v>13</v>
      </c>
      <c r="J338">
        <v>9.4</v>
      </c>
      <c r="K338">
        <v>11.3</v>
      </c>
      <c r="L338">
        <v>25</v>
      </c>
      <c r="M338">
        <v>266</v>
      </c>
      <c r="N338">
        <v>4</v>
      </c>
      <c r="O338">
        <v>6</v>
      </c>
      <c r="P338" t="s">
        <v>654</v>
      </c>
      <c r="Q338">
        <v>11.3</v>
      </c>
    </row>
    <row r="339" spans="1:17" x14ac:dyDescent="0.25">
      <c r="A339">
        <v>2025</v>
      </c>
      <c r="B339" t="s">
        <v>646</v>
      </c>
      <c r="C339" t="s">
        <v>655</v>
      </c>
      <c r="D339" t="s">
        <v>83</v>
      </c>
      <c r="E339">
        <v>3</v>
      </c>
      <c r="F339">
        <v>6</v>
      </c>
      <c r="G339" t="s">
        <v>97</v>
      </c>
      <c r="H339" t="s">
        <v>73</v>
      </c>
      <c r="I339">
        <v>16.3</v>
      </c>
      <c r="J339">
        <v>11.8</v>
      </c>
      <c r="K339">
        <v>14.3</v>
      </c>
      <c r="L339">
        <v>20</v>
      </c>
      <c r="M339">
        <v>334</v>
      </c>
      <c r="N339">
        <v>3</v>
      </c>
      <c r="O339">
        <v>6</v>
      </c>
      <c r="P339" t="s">
        <v>656</v>
      </c>
      <c r="Q339">
        <v>14.3</v>
      </c>
    </row>
    <row r="340" spans="1:17" x14ac:dyDescent="0.25">
      <c r="A340">
        <v>2025</v>
      </c>
      <c r="B340" t="s">
        <v>646</v>
      </c>
      <c r="C340" t="s">
        <v>657</v>
      </c>
      <c r="D340" t="s">
        <v>83</v>
      </c>
      <c r="E340">
        <v>3</v>
      </c>
      <c r="F340">
        <v>6</v>
      </c>
      <c r="G340" t="s">
        <v>97</v>
      </c>
      <c r="H340" t="s">
        <v>73</v>
      </c>
      <c r="I340">
        <v>16.3</v>
      </c>
      <c r="J340">
        <v>11.8</v>
      </c>
      <c r="K340">
        <v>14.3</v>
      </c>
      <c r="L340">
        <v>20</v>
      </c>
      <c r="M340">
        <v>334</v>
      </c>
      <c r="N340">
        <v>3</v>
      </c>
      <c r="O340">
        <v>6</v>
      </c>
      <c r="P340" t="s">
        <v>658</v>
      </c>
      <c r="Q340">
        <v>14.3</v>
      </c>
    </row>
    <row r="341" spans="1:17" x14ac:dyDescent="0.25">
      <c r="A341">
        <v>2025</v>
      </c>
      <c r="B341" t="s">
        <v>646</v>
      </c>
      <c r="C341" t="s">
        <v>659</v>
      </c>
      <c r="D341" t="s">
        <v>83</v>
      </c>
      <c r="E341">
        <v>3</v>
      </c>
      <c r="F341">
        <v>6</v>
      </c>
      <c r="G341" t="s">
        <v>97</v>
      </c>
      <c r="H341" t="s">
        <v>105</v>
      </c>
      <c r="I341">
        <v>14.5</v>
      </c>
      <c r="J341">
        <v>10.1</v>
      </c>
      <c r="K341">
        <v>12.5</v>
      </c>
      <c r="L341">
        <v>23</v>
      </c>
      <c r="M341">
        <v>293</v>
      </c>
      <c r="N341">
        <v>4</v>
      </c>
      <c r="O341">
        <v>6</v>
      </c>
      <c r="P341" t="s">
        <v>660</v>
      </c>
      <c r="Q341">
        <v>12.5</v>
      </c>
    </row>
    <row r="342" spans="1:17" x14ac:dyDescent="0.25">
      <c r="A342">
        <v>2025</v>
      </c>
      <c r="B342" t="s">
        <v>646</v>
      </c>
      <c r="C342" t="s">
        <v>661</v>
      </c>
      <c r="D342" t="s">
        <v>83</v>
      </c>
      <c r="E342">
        <v>3</v>
      </c>
      <c r="F342">
        <v>6</v>
      </c>
      <c r="G342" t="s">
        <v>97</v>
      </c>
      <c r="H342" t="s">
        <v>105</v>
      </c>
      <c r="I342">
        <v>14.5</v>
      </c>
      <c r="J342">
        <v>10.4</v>
      </c>
      <c r="K342">
        <v>12.7</v>
      </c>
      <c r="L342">
        <v>22</v>
      </c>
      <c r="M342">
        <v>297</v>
      </c>
      <c r="N342">
        <v>4</v>
      </c>
      <c r="O342">
        <v>6</v>
      </c>
      <c r="P342" t="s">
        <v>662</v>
      </c>
      <c r="Q342">
        <v>12.7</v>
      </c>
    </row>
    <row r="343" spans="1:17" x14ac:dyDescent="0.25">
      <c r="A343">
        <v>2025</v>
      </c>
      <c r="B343" t="s">
        <v>646</v>
      </c>
      <c r="C343" t="s">
        <v>663</v>
      </c>
      <c r="D343" t="s">
        <v>79</v>
      </c>
      <c r="E343">
        <v>2</v>
      </c>
      <c r="F343">
        <v>4</v>
      </c>
      <c r="G343" t="s">
        <v>97</v>
      </c>
      <c r="H343" t="s">
        <v>105</v>
      </c>
      <c r="I343">
        <v>11.6</v>
      </c>
      <c r="J343">
        <v>10.199999999999999</v>
      </c>
      <c r="K343">
        <v>11</v>
      </c>
      <c r="L343">
        <v>26</v>
      </c>
      <c r="M343">
        <v>258</v>
      </c>
      <c r="N343">
        <v>4</v>
      </c>
      <c r="O343">
        <v>6</v>
      </c>
      <c r="P343" t="s">
        <v>664</v>
      </c>
      <c r="Q343">
        <v>11</v>
      </c>
    </row>
    <row r="344" spans="1:17" x14ac:dyDescent="0.25">
      <c r="A344">
        <v>2025</v>
      </c>
      <c r="B344" t="s">
        <v>646</v>
      </c>
      <c r="C344" t="s">
        <v>663</v>
      </c>
      <c r="D344" t="s">
        <v>79</v>
      </c>
      <c r="E344">
        <v>3.6</v>
      </c>
      <c r="F344">
        <v>6</v>
      </c>
      <c r="G344" t="s">
        <v>75</v>
      </c>
      <c r="H344" t="s">
        <v>105</v>
      </c>
      <c r="I344">
        <v>13.9</v>
      </c>
      <c r="J344">
        <v>10.199999999999999</v>
      </c>
      <c r="K344">
        <v>12.2</v>
      </c>
      <c r="L344">
        <v>23</v>
      </c>
      <c r="M344">
        <v>287</v>
      </c>
      <c r="N344">
        <v>4</v>
      </c>
      <c r="O344">
        <v>6</v>
      </c>
      <c r="P344" t="s">
        <v>664</v>
      </c>
      <c r="Q344">
        <v>12.2</v>
      </c>
    </row>
    <row r="345" spans="1:17" x14ac:dyDescent="0.25">
      <c r="A345">
        <v>2025</v>
      </c>
      <c r="B345" t="s">
        <v>646</v>
      </c>
      <c r="C345" t="s">
        <v>665</v>
      </c>
      <c r="D345" t="s">
        <v>79</v>
      </c>
      <c r="E345">
        <v>2</v>
      </c>
      <c r="F345">
        <v>4</v>
      </c>
      <c r="G345" t="s">
        <v>97</v>
      </c>
      <c r="H345" t="s">
        <v>105</v>
      </c>
      <c r="I345">
        <v>11.9</v>
      </c>
      <c r="J345">
        <v>10.5</v>
      </c>
      <c r="K345">
        <v>11.3</v>
      </c>
      <c r="L345">
        <v>25</v>
      </c>
      <c r="M345">
        <v>265</v>
      </c>
      <c r="N345">
        <v>4</v>
      </c>
      <c r="O345">
        <v>6</v>
      </c>
      <c r="P345" t="s">
        <v>666</v>
      </c>
      <c r="Q345">
        <v>11.3</v>
      </c>
    </row>
    <row r="346" spans="1:17" x14ac:dyDescent="0.25">
      <c r="A346">
        <v>2025</v>
      </c>
      <c r="B346" t="s">
        <v>646</v>
      </c>
      <c r="C346" t="s">
        <v>665</v>
      </c>
      <c r="D346" t="s">
        <v>79</v>
      </c>
      <c r="E346">
        <v>3.6</v>
      </c>
      <c r="F346">
        <v>6</v>
      </c>
      <c r="G346" t="s">
        <v>97</v>
      </c>
      <c r="H346" t="s">
        <v>105</v>
      </c>
      <c r="I346">
        <v>13.4</v>
      </c>
      <c r="J346">
        <v>10.1</v>
      </c>
      <c r="K346">
        <v>11.9</v>
      </c>
      <c r="L346">
        <v>24</v>
      </c>
      <c r="M346">
        <v>280</v>
      </c>
      <c r="N346">
        <v>4</v>
      </c>
      <c r="O346">
        <v>6</v>
      </c>
      <c r="P346" t="s">
        <v>666</v>
      </c>
      <c r="Q346">
        <v>11.9</v>
      </c>
    </row>
    <row r="347" spans="1:17" x14ac:dyDescent="0.25">
      <c r="A347">
        <v>2025</v>
      </c>
      <c r="B347" t="s">
        <v>646</v>
      </c>
      <c r="C347" t="s">
        <v>665</v>
      </c>
      <c r="D347" t="s">
        <v>79</v>
      </c>
      <c r="E347">
        <v>3.6</v>
      </c>
      <c r="F347">
        <v>6</v>
      </c>
      <c r="G347" t="s">
        <v>75</v>
      </c>
      <c r="H347" t="s">
        <v>105</v>
      </c>
      <c r="I347">
        <v>14.3</v>
      </c>
      <c r="J347">
        <v>10.5</v>
      </c>
      <c r="K347">
        <v>12.6</v>
      </c>
      <c r="L347">
        <v>22</v>
      </c>
      <c r="M347">
        <v>296</v>
      </c>
      <c r="N347">
        <v>4</v>
      </c>
      <c r="O347">
        <v>6</v>
      </c>
      <c r="P347" t="s">
        <v>666</v>
      </c>
      <c r="Q347">
        <v>12.6</v>
      </c>
    </row>
    <row r="348" spans="1:17" x14ac:dyDescent="0.25">
      <c r="A348">
        <v>2025</v>
      </c>
      <c r="B348" t="s">
        <v>667</v>
      </c>
      <c r="C348" t="s">
        <v>668</v>
      </c>
      <c r="D348" t="s">
        <v>411</v>
      </c>
      <c r="E348">
        <v>3.5</v>
      </c>
      <c r="F348">
        <v>6</v>
      </c>
      <c r="G348" t="s">
        <v>142</v>
      </c>
      <c r="H348" t="s">
        <v>105</v>
      </c>
      <c r="I348">
        <v>12.9</v>
      </c>
      <c r="J348">
        <v>8.8000000000000007</v>
      </c>
      <c r="K348">
        <v>11.1</v>
      </c>
      <c r="L348">
        <v>25</v>
      </c>
      <c r="M348">
        <v>260</v>
      </c>
      <c r="N348">
        <v>4</v>
      </c>
      <c r="O348">
        <v>5</v>
      </c>
      <c r="P348" t="s">
        <v>669</v>
      </c>
      <c r="Q348">
        <v>11.1</v>
      </c>
    </row>
    <row r="349" spans="1:17" x14ac:dyDescent="0.25">
      <c r="A349">
        <v>2025</v>
      </c>
      <c r="B349" t="s">
        <v>667</v>
      </c>
      <c r="C349" t="s">
        <v>670</v>
      </c>
      <c r="D349" t="s">
        <v>411</v>
      </c>
      <c r="E349">
        <v>1.6</v>
      </c>
      <c r="F349">
        <v>4</v>
      </c>
      <c r="G349" t="s">
        <v>593</v>
      </c>
      <c r="H349" t="s">
        <v>105</v>
      </c>
      <c r="I349">
        <v>6.9</v>
      </c>
      <c r="J349">
        <v>7.6</v>
      </c>
      <c r="K349">
        <v>7.2</v>
      </c>
      <c r="L349">
        <v>39</v>
      </c>
      <c r="M349">
        <v>170</v>
      </c>
      <c r="N349">
        <v>6</v>
      </c>
      <c r="O349">
        <v>6</v>
      </c>
      <c r="P349" t="s">
        <v>671</v>
      </c>
      <c r="Q349">
        <v>7.2</v>
      </c>
    </row>
    <row r="350" spans="1:17" x14ac:dyDescent="0.25">
      <c r="A350">
        <v>2025</v>
      </c>
      <c r="B350" t="s">
        <v>667</v>
      </c>
      <c r="C350" t="s">
        <v>672</v>
      </c>
      <c r="D350" t="s">
        <v>96</v>
      </c>
      <c r="E350">
        <v>1.6</v>
      </c>
      <c r="F350">
        <v>4</v>
      </c>
      <c r="G350" t="s">
        <v>142</v>
      </c>
      <c r="H350" t="s">
        <v>105</v>
      </c>
      <c r="I350">
        <v>9.1999999999999993</v>
      </c>
      <c r="J350">
        <v>6.6</v>
      </c>
      <c r="K350">
        <v>8</v>
      </c>
      <c r="L350">
        <v>35</v>
      </c>
      <c r="M350">
        <v>188</v>
      </c>
      <c r="N350">
        <v>6</v>
      </c>
      <c r="O350">
        <v>6</v>
      </c>
      <c r="P350" t="s">
        <v>673</v>
      </c>
      <c r="Q350">
        <v>8</v>
      </c>
    </row>
    <row r="351" spans="1:17" x14ac:dyDescent="0.25">
      <c r="A351">
        <v>2025</v>
      </c>
      <c r="B351" t="s">
        <v>667</v>
      </c>
      <c r="C351" t="s">
        <v>672</v>
      </c>
      <c r="D351" t="s">
        <v>96</v>
      </c>
      <c r="E351">
        <v>2</v>
      </c>
      <c r="F351">
        <v>4</v>
      </c>
      <c r="G351" t="s">
        <v>589</v>
      </c>
      <c r="H351" t="s">
        <v>105</v>
      </c>
      <c r="I351">
        <v>8.4</v>
      </c>
      <c r="J351">
        <v>6</v>
      </c>
      <c r="K351">
        <v>7.3</v>
      </c>
      <c r="L351">
        <v>39</v>
      </c>
      <c r="M351">
        <v>172</v>
      </c>
      <c r="N351">
        <v>6</v>
      </c>
      <c r="O351">
        <v>6</v>
      </c>
      <c r="P351" t="s">
        <v>673</v>
      </c>
      <c r="Q351">
        <v>7.3</v>
      </c>
    </row>
    <row r="352" spans="1:17" x14ac:dyDescent="0.25">
      <c r="A352">
        <v>2025</v>
      </c>
      <c r="B352" t="s">
        <v>667</v>
      </c>
      <c r="C352" t="s">
        <v>674</v>
      </c>
      <c r="D352" t="s">
        <v>96</v>
      </c>
      <c r="E352">
        <v>2</v>
      </c>
      <c r="F352">
        <v>4</v>
      </c>
      <c r="G352" t="s">
        <v>589</v>
      </c>
      <c r="H352" t="s">
        <v>105</v>
      </c>
      <c r="I352">
        <v>7.9</v>
      </c>
      <c r="J352">
        <v>5.8</v>
      </c>
      <c r="K352">
        <v>7</v>
      </c>
      <c r="L352">
        <v>40</v>
      </c>
      <c r="M352">
        <v>164</v>
      </c>
      <c r="N352">
        <v>7</v>
      </c>
      <c r="O352">
        <v>6</v>
      </c>
      <c r="P352" t="s">
        <v>675</v>
      </c>
      <c r="Q352">
        <v>7</v>
      </c>
    </row>
    <row r="353" spans="1:17" x14ac:dyDescent="0.25">
      <c r="A353">
        <v>2025</v>
      </c>
      <c r="B353" t="s">
        <v>667</v>
      </c>
      <c r="C353" t="s">
        <v>676</v>
      </c>
      <c r="D353" t="s">
        <v>79</v>
      </c>
      <c r="E353">
        <v>1.6</v>
      </c>
      <c r="F353">
        <v>4</v>
      </c>
      <c r="G353" t="s">
        <v>593</v>
      </c>
      <c r="H353" t="s">
        <v>105</v>
      </c>
      <c r="I353">
        <v>4.5</v>
      </c>
      <c r="J353">
        <v>5.2</v>
      </c>
      <c r="K353">
        <v>4.8</v>
      </c>
      <c r="L353">
        <v>59</v>
      </c>
      <c r="M353">
        <v>112</v>
      </c>
      <c r="N353">
        <v>8</v>
      </c>
      <c r="O353">
        <v>6</v>
      </c>
      <c r="P353" t="s">
        <v>677</v>
      </c>
      <c r="Q353">
        <v>4.8</v>
      </c>
    </row>
    <row r="354" spans="1:17" x14ac:dyDescent="0.25">
      <c r="A354">
        <v>2025</v>
      </c>
      <c r="B354" t="s">
        <v>667</v>
      </c>
      <c r="C354" t="s">
        <v>678</v>
      </c>
      <c r="D354" t="s">
        <v>79</v>
      </c>
      <c r="E354">
        <v>1.6</v>
      </c>
      <c r="F354">
        <v>4</v>
      </c>
      <c r="G354" t="s">
        <v>593</v>
      </c>
      <c r="H354" t="s">
        <v>105</v>
      </c>
      <c r="I354">
        <v>4.5</v>
      </c>
      <c r="J354">
        <v>4.4000000000000004</v>
      </c>
      <c r="K354">
        <v>4.4000000000000004</v>
      </c>
      <c r="L354">
        <v>64</v>
      </c>
      <c r="M354">
        <v>104</v>
      </c>
      <c r="N354">
        <v>8</v>
      </c>
      <c r="O354">
        <v>6</v>
      </c>
      <c r="P354" t="s">
        <v>679</v>
      </c>
      <c r="Q354">
        <v>4.4000000000000004</v>
      </c>
    </row>
    <row r="355" spans="1:17" x14ac:dyDescent="0.25">
      <c r="A355">
        <v>2025</v>
      </c>
      <c r="B355" t="s">
        <v>667</v>
      </c>
      <c r="C355" t="s">
        <v>680</v>
      </c>
      <c r="D355" t="s">
        <v>79</v>
      </c>
      <c r="E355">
        <v>2</v>
      </c>
      <c r="F355">
        <v>4</v>
      </c>
      <c r="G355" t="s">
        <v>631</v>
      </c>
      <c r="H355" t="s">
        <v>105</v>
      </c>
      <c r="I355">
        <v>8.3000000000000007</v>
      </c>
      <c r="J355">
        <v>6.8</v>
      </c>
      <c r="K355">
        <v>7.6</v>
      </c>
      <c r="L355">
        <v>37</v>
      </c>
      <c r="M355">
        <v>179</v>
      </c>
      <c r="N355">
        <v>6</v>
      </c>
      <c r="O355">
        <v>6</v>
      </c>
      <c r="P355" t="s">
        <v>681</v>
      </c>
      <c r="Q355">
        <v>7.6</v>
      </c>
    </row>
    <row r="356" spans="1:17" x14ac:dyDescent="0.25">
      <c r="A356">
        <v>2025</v>
      </c>
      <c r="B356" t="s">
        <v>667</v>
      </c>
      <c r="C356" t="s">
        <v>682</v>
      </c>
      <c r="D356" t="s">
        <v>79</v>
      </c>
      <c r="E356">
        <v>1.6</v>
      </c>
      <c r="F356">
        <v>4</v>
      </c>
      <c r="G356" t="s">
        <v>142</v>
      </c>
      <c r="H356" t="s">
        <v>105</v>
      </c>
      <c r="I356">
        <v>9.6999999999999993</v>
      </c>
      <c r="J356">
        <v>8.6</v>
      </c>
      <c r="K356">
        <v>9.1999999999999993</v>
      </c>
      <c r="L356">
        <v>31</v>
      </c>
      <c r="M356">
        <v>217</v>
      </c>
      <c r="N356">
        <v>5</v>
      </c>
      <c r="O356">
        <v>6</v>
      </c>
      <c r="P356" t="s">
        <v>683</v>
      </c>
      <c r="Q356">
        <v>9.1999999999999993</v>
      </c>
    </row>
    <row r="357" spans="1:17" x14ac:dyDescent="0.25">
      <c r="A357">
        <v>2025</v>
      </c>
      <c r="B357" t="s">
        <v>667</v>
      </c>
      <c r="C357" t="s">
        <v>682</v>
      </c>
      <c r="D357" t="s">
        <v>79</v>
      </c>
      <c r="E357">
        <v>2</v>
      </c>
      <c r="F357">
        <v>4</v>
      </c>
      <c r="G357" t="s">
        <v>631</v>
      </c>
      <c r="H357" t="s">
        <v>105</v>
      </c>
      <c r="I357">
        <v>8.8000000000000007</v>
      </c>
      <c r="J357">
        <v>7.5</v>
      </c>
      <c r="K357">
        <v>8.1999999999999993</v>
      </c>
      <c r="L357">
        <v>34</v>
      </c>
      <c r="M357">
        <v>192</v>
      </c>
      <c r="N357">
        <v>6</v>
      </c>
      <c r="O357">
        <v>6</v>
      </c>
      <c r="P357" t="s">
        <v>683</v>
      </c>
      <c r="Q357">
        <v>8.1999999999999993</v>
      </c>
    </row>
    <row r="358" spans="1:17" x14ac:dyDescent="0.25">
      <c r="A358">
        <v>2025</v>
      </c>
      <c r="B358" t="s">
        <v>667</v>
      </c>
      <c r="C358" t="s">
        <v>684</v>
      </c>
      <c r="D358" t="s">
        <v>79</v>
      </c>
      <c r="E358">
        <v>2.5</v>
      </c>
      <c r="F358">
        <v>4</v>
      </c>
      <c r="G358" t="s">
        <v>426</v>
      </c>
      <c r="H358" t="s">
        <v>105</v>
      </c>
      <c r="I358">
        <v>11.5</v>
      </c>
      <c r="J358">
        <v>8.6999999999999993</v>
      </c>
      <c r="K358">
        <v>10.3</v>
      </c>
      <c r="L358">
        <v>27</v>
      </c>
      <c r="M358">
        <v>241</v>
      </c>
      <c r="N358">
        <v>5</v>
      </c>
      <c r="O358">
        <v>6</v>
      </c>
      <c r="P358" t="s">
        <v>685</v>
      </c>
      <c r="Q358">
        <v>10.3</v>
      </c>
    </row>
    <row r="359" spans="1:17" x14ac:dyDescent="0.25">
      <c r="A359">
        <v>2025</v>
      </c>
      <c r="B359" t="s">
        <v>667</v>
      </c>
      <c r="C359" t="s">
        <v>684</v>
      </c>
      <c r="D359" t="s">
        <v>79</v>
      </c>
      <c r="E359">
        <v>2.5</v>
      </c>
      <c r="F359">
        <v>4</v>
      </c>
      <c r="G359" t="s">
        <v>142</v>
      </c>
      <c r="H359" t="s">
        <v>105</v>
      </c>
      <c r="I359">
        <v>10.199999999999999</v>
      </c>
      <c r="J359">
        <v>8.5</v>
      </c>
      <c r="K359">
        <v>9.4</v>
      </c>
      <c r="L359">
        <v>30</v>
      </c>
      <c r="M359">
        <v>222</v>
      </c>
      <c r="N359">
        <v>5</v>
      </c>
      <c r="O359">
        <v>6</v>
      </c>
      <c r="P359" t="s">
        <v>685</v>
      </c>
      <c r="Q359">
        <v>9.4</v>
      </c>
    </row>
    <row r="360" spans="1:17" x14ac:dyDescent="0.25">
      <c r="A360">
        <v>2025</v>
      </c>
      <c r="B360" t="s">
        <v>667</v>
      </c>
      <c r="C360" t="s">
        <v>686</v>
      </c>
      <c r="D360" t="s">
        <v>79</v>
      </c>
      <c r="E360">
        <v>1.6</v>
      </c>
      <c r="F360">
        <v>4</v>
      </c>
      <c r="G360" t="s">
        <v>687</v>
      </c>
      <c r="H360" t="s">
        <v>105</v>
      </c>
      <c r="I360">
        <v>7</v>
      </c>
      <c r="J360">
        <v>6.9</v>
      </c>
      <c r="K360">
        <v>7</v>
      </c>
      <c r="L360">
        <v>40</v>
      </c>
      <c r="M360">
        <v>163</v>
      </c>
      <c r="N360">
        <v>7</v>
      </c>
      <c r="O360">
        <v>6</v>
      </c>
      <c r="P360" t="s">
        <v>688</v>
      </c>
      <c r="Q360">
        <v>7</v>
      </c>
    </row>
    <row r="361" spans="1:17" x14ac:dyDescent="0.25">
      <c r="A361">
        <v>2025</v>
      </c>
      <c r="B361" t="s">
        <v>667</v>
      </c>
      <c r="C361" t="s">
        <v>689</v>
      </c>
      <c r="D361" t="s">
        <v>124</v>
      </c>
      <c r="E361">
        <v>2</v>
      </c>
      <c r="F361">
        <v>4</v>
      </c>
      <c r="G361" t="s">
        <v>309</v>
      </c>
      <c r="H361" t="s">
        <v>105</v>
      </c>
      <c r="I361">
        <v>8.5</v>
      </c>
      <c r="J361">
        <v>7</v>
      </c>
      <c r="K361">
        <v>7.9</v>
      </c>
      <c r="L361">
        <v>36</v>
      </c>
      <c r="M361">
        <v>187</v>
      </c>
      <c r="N361">
        <v>6</v>
      </c>
      <c r="O361">
        <v>6</v>
      </c>
      <c r="P361" t="s">
        <v>690</v>
      </c>
      <c r="Q361">
        <v>7.9</v>
      </c>
    </row>
    <row r="362" spans="1:17" x14ac:dyDescent="0.25">
      <c r="A362">
        <v>2025</v>
      </c>
      <c r="B362" t="s">
        <v>667</v>
      </c>
      <c r="C362" t="s">
        <v>691</v>
      </c>
      <c r="D362" t="s">
        <v>79</v>
      </c>
      <c r="E362">
        <v>2.5</v>
      </c>
      <c r="F362">
        <v>4</v>
      </c>
      <c r="G362" t="s">
        <v>142</v>
      </c>
      <c r="H362" t="s">
        <v>105</v>
      </c>
      <c r="I362">
        <v>9.3000000000000007</v>
      </c>
      <c r="J362">
        <v>7.1</v>
      </c>
      <c r="K362">
        <v>8.3000000000000007</v>
      </c>
      <c r="L362">
        <v>34</v>
      </c>
      <c r="M362">
        <v>195</v>
      </c>
      <c r="N362">
        <v>6</v>
      </c>
      <c r="O362">
        <v>6</v>
      </c>
      <c r="P362" t="s">
        <v>692</v>
      </c>
      <c r="Q362">
        <v>8.3000000000000007</v>
      </c>
    </row>
    <row r="363" spans="1:17" x14ac:dyDescent="0.25">
      <c r="A363">
        <v>2025</v>
      </c>
      <c r="B363" t="s">
        <v>667</v>
      </c>
      <c r="C363" t="s">
        <v>693</v>
      </c>
      <c r="D363" t="s">
        <v>79</v>
      </c>
      <c r="E363">
        <v>2.5</v>
      </c>
      <c r="F363">
        <v>4</v>
      </c>
      <c r="G363" t="s">
        <v>142</v>
      </c>
      <c r="H363" t="s">
        <v>105</v>
      </c>
      <c r="I363">
        <v>10.1</v>
      </c>
      <c r="J363">
        <v>8.6999999999999993</v>
      </c>
      <c r="K363">
        <v>9.4</v>
      </c>
      <c r="L363">
        <v>30</v>
      </c>
      <c r="M363">
        <v>222</v>
      </c>
      <c r="N363">
        <v>5</v>
      </c>
      <c r="O363">
        <v>6</v>
      </c>
      <c r="P363" t="s">
        <v>694</v>
      </c>
      <c r="Q363">
        <v>9.4</v>
      </c>
    </row>
    <row r="364" spans="1:17" x14ac:dyDescent="0.25">
      <c r="A364">
        <v>2025</v>
      </c>
      <c r="B364" t="s">
        <v>667</v>
      </c>
      <c r="C364" t="s">
        <v>695</v>
      </c>
      <c r="D364" t="s">
        <v>79</v>
      </c>
      <c r="E364">
        <v>1.6</v>
      </c>
      <c r="F364">
        <v>4</v>
      </c>
      <c r="G364" t="s">
        <v>593</v>
      </c>
      <c r="H364" t="s">
        <v>105</v>
      </c>
      <c r="I364">
        <v>6.1</v>
      </c>
      <c r="J364">
        <v>6.3</v>
      </c>
      <c r="K364">
        <v>6.2</v>
      </c>
      <c r="L364">
        <v>46</v>
      </c>
      <c r="M364">
        <v>145</v>
      </c>
      <c r="N364">
        <v>7</v>
      </c>
      <c r="O364">
        <v>6</v>
      </c>
      <c r="P364" t="s">
        <v>696</v>
      </c>
      <c r="Q364">
        <v>6.2</v>
      </c>
    </row>
    <row r="365" spans="1:17" x14ac:dyDescent="0.25">
      <c r="A365">
        <v>2025</v>
      </c>
      <c r="B365" t="s">
        <v>667</v>
      </c>
      <c r="C365" t="s">
        <v>697</v>
      </c>
      <c r="D365" t="s">
        <v>79</v>
      </c>
      <c r="E365">
        <v>3.8</v>
      </c>
      <c r="F365">
        <v>6</v>
      </c>
      <c r="G365" t="s">
        <v>142</v>
      </c>
      <c r="H365" t="s">
        <v>105</v>
      </c>
      <c r="I365">
        <v>13.1</v>
      </c>
      <c r="J365">
        <v>10</v>
      </c>
      <c r="K365">
        <v>11.7</v>
      </c>
      <c r="L365">
        <v>24</v>
      </c>
      <c r="M365">
        <v>275</v>
      </c>
      <c r="N365">
        <v>4</v>
      </c>
      <c r="O365">
        <v>5</v>
      </c>
      <c r="P365" t="s">
        <v>698</v>
      </c>
      <c r="Q365">
        <v>11.7</v>
      </c>
    </row>
    <row r="366" spans="1:17" x14ac:dyDescent="0.25">
      <c r="A366">
        <v>2025</v>
      </c>
      <c r="B366" t="s">
        <v>699</v>
      </c>
      <c r="C366" t="s">
        <v>700</v>
      </c>
      <c r="D366" t="s">
        <v>83</v>
      </c>
      <c r="E366">
        <v>2</v>
      </c>
      <c r="F366">
        <v>4</v>
      </c>
      <c r="G366" t="s">
        <v>142</v>
      </c>
      <c r="H366" t="s">
        <v>73</v>
      </c>
      <c r="I366">
        <v>13.1</v>
      </c>
      <c r="J366">
        <v>11.4</v>
      </c>
      <c r="K366">
        <v>12.3</v>
      </c>
      <c r="L366">
        <v>23</v>
      </c>
      <c r="M366">
        <v>289</v>
      </c>
      <c r="N366">
        <v>4</v>
      </c>
      <c r="O366">
        <v>6</v>
      </c>
      <c r="P366" t="s">
        <v>701</v>
      </c>
      <c r="Q366">
        <v>12.3</v>
      </c>
    </row>
    <row r="367" spans="1:17" x14ac:dyDescent="0.25">
      <c r="A367">
        <v>2025</v>
      </c>
      <c r="B367" t="s">
        <v>699</v>
      </c>
      <c r="C367" t="s">
        <v>702</v>
      </c>
      <c r="D367" t="s">
        <v>83</v>
      </c>
      <c r="E367">
        <v>2</v>
      </c>
      <c r="F367">
        <v>4</v>
      </c>
      <c r="G367" t="s">
        <v>142</v>
      </c>
      <c r="H367" t="s">
        <v>73</v>
      </c>
      <c r="I367">
        <v>13.2</v>
      </c>
      <c r="J367">
        <v>11.9</v>
      </c>
      <c r="K367">
        <v>12.6</v>
      </c>
      <c r="L367">
        <v>22</v>
      </c>
      <c r="M367">
        <v>294</v>
      </c>
      <c r="N367">
        <v>4</v>
      </c>
      <c r="O367">
        <v>6</v>
      </c>
      <c r="P367" t="s">
        <v>703</v>
      </c>
      <c r="Q367">
        <v>12.6</v>
      </c>
    </row>
    <row r="368" spans="1:17" x14ac:dyDescent="0.25">
      <c r="A368">
        <v>2025</v>
      </c>
      <c r="B368" t="s">
        <v>699</v>
      </c>
      <c r="C368" t="s">
        <v>704</v>
      </c>
      <c r="D368" t="s">
        <v>83</v>
      </c>
      <c r="E368">
        <v>2</v>
      </c>
      <c r="F368">
        <v>4</v>
      </c>
      <c r="G368" t="s">
        <v>142</v>
      </c>
      <c r="H368" t="s">
        <v>73</v>
      </c>
      <c r="I368">
        <v>12.2</v>
      </c>
      <c r="J368">
        <v>9.8000000000000007</v>
      </c>
      <c r="K368">
        <v>11.1</v>
      </c>
      <c r="L368">
        <v>25</v>
      </c>
      <c r="M368">
        <v>262</v>
      </c>
      <c r="N368">
        <v>4</v>
      </c>
      <c r="O368">
        <v>6</v>
      </c>
      <c r="P368" t="s">
        <v>705</v>
      </c>
      <c r="Q368">
        <v>11.1</v>
      </c>
    </row>
    <row r="369" spans="1:17" x14ac:dyDescent="0.25">
      <c r="A369">
        <v>2025</v>
      </c>
      <c r="B369" t="s">
        <v>699</v>
      </c>
      <c r="C369" t="s">
        <v>706</v>
      </c>
      <c r="D369" t="s">
        <v>83</v>
      </c>
      <c r="E369">
        <v>3</v>
      </c>
      <c r="F369">
        <v>6</v>
      </c>
      <c r="G369" t="s">
        <v>142</v>
      </c>
      <c r="H369" t="s">
        <v>73</v>
      </c>
      <c r="I369">
        <v>13.6</v>
      </c>
      <c r="J369">
        <v>10.3</v>
      </c>
      <c r="K369">
        <v>12.1</v>
      </c>
      <c r="L369">
        <v>23</v>
      </c>
      <c r="M369">
        <v>284</v>
      </c>
      <c r="N369">
        <v>4</v>
      </c>
      <c r="O369">
        <v>6</v>
      </c>
      <c r="P369" t="s">
        <v>707</v>
      </c>
      <c r="Q369">
        <v>12.1</v>
      </c>
    </row>
    <row r="370" spans="1:17" x14ac:dyDescent="0.25">
      <c r="A370">
        <v>2025</v>
      </c>
      <c r="B370" t="s">
        <v>699</v>
      </c>
      <c r="C370" t="s">
        <v>708</v>
      </c>
      <c r="D370" t="s">
        <v>79</v>
      </c>
      <c r="E370">
        <v>2</v>
      </c>
      <c r="F370">
        <v>4</v>
      </c>
      <c r="G370" t="s">
        <v>314</v>
      </c>
      <c r="H370" t="s">
        <v>73</v>
      </c>
      <c r="I370">
        <v>12.7</v>
      </c>
      <c r="J370">
        <v>10</v>
      </c>
      <c r="K370">
        <v>11.5</v>
      </c>
      <c r="L370">
        <v>25</v>
      </c>
      <c r="M370">
        <v>271</v>
      </c>
      <c r="N370">
        <v>4</v>
      </c>
      <c r="O370">
        <v>6</v>
      </c>
      <c r="P370" t="s">
        <v>709</v>
      </c>
      <c r="Q370">
        <v>11.5</v>
      </c>
    </row>
    <row r="371" spans="1:17" x14ac:dyDescent="0.25">
      <c r="A371">
        <v>2025</v>
      </c>
      <c r="B371" t="s">
        <v>699</v>
      </c>
      <c r="C371" t="s">
        <v>710</v>
      </c>
      <c r="D371" t="s">
        <v>83</v>
      </c>
      <c r="E371">
        <v>4.4000000000000004</v>
      </c>
      <c r="F371">
        <v>8</v>
      </c>
      <c r="G371" t="s">
        <v>142</v>
      </c>
      <c r="H371" t="s">
        <v>73</v>
      </c>
      <c r="I371">
        <v>14.5</v>
      </c>
      <c r="J371">
        <v>10.199999999999999</v>
      </c>
      <c r="K371">
        <v>12.6</v>
      </c>
      <c r="L371">
        <v>22</v>
      </c>
      <c r="M371">
        <v>296</v>
      </c>
      <c r="N371">
        <v>4</v>
      </c>
      <c r="O371">
        <v>5</v>
      </c>
      <c r="P371" t="s">
        <v>711</v>
      </c>
      <c r="Q371">
        <v>12.6</v>
      </c>
    </row>
    <row r="372" spans="1:17" x14ac:dyDescent="0.25">
      <c r="A372">
        <v>2025</v>
      </c>
      <c r="B372" t="s">
        <v>699</v>
      </c>
      <c r="C372" t="s">
        <v>712</v>
      </c>
      <c r="D372" t="s">
        <v>83</v>
      </c>
      <c r="E372">
        <v>4.4000000000000004</v>
      </c>
      <c r="F372">
        <v>8</v>
      </c>
      <c r="G372" t="s">
        <v>142</v>
      </c>
      <c r="H372" t="s">
        <v>73</v>
      </c>
      <c r="I372">
        <v>15.2</v>
      </c>
      <c r="J372">
        <v>10.8</v>
      </c>
      <c r="K372">
        <v>13.2</v>
      </c>
      <c r="L372">
        <v>21</v>
      </c>
      <c r="M372">
        <v>311</v>
      </c>
      <c r="N372">
        <v>4</v>
      </c>
      <c r="O372">
        <v>5</v>
      </c>
      <c r="P372" t="s">
        <v>713</v>
      </c>
      <c r="Q372">
        <v>13.2</v>
      </c>
    </row>
    <row r="373" spans="1:17" x14ac:dyDescent="0.25">
      <c r="A373">
        <v>2025</v>
      </c>
      <c r="B373" t="s">
        <v>699</v>
      </c>
      <c r="C373" t="s">
        <v>714</v>
      </c>
      <c r="D373" t="s">
        <v>83</v>
      </c>
      <c r="E373">
        <v>4.4000000000000004</v>
      </c>
      <c r="F373">
        <v>8</v>
      </c>
      <c r="G373" t="s">
        <v>142</v>
      </c>
      <c r="H373" t="s">
        <v>73</v>
      </c>
      <c r="I373">
        <v>15.2</v>
      </c>
      <c r="J373">
        <v>10.8</v>
      </c>
      <c r="K373">
        <v>13.2</v>
      </c>
      <c r="L373">
        <v>21</v>
      </c>
      <c r="M373">
        <v>311</v>
      </c>
      <c r="N373">
        <v>4</v>
      </c>
      <c r="O373">
        <v>5</v>
      </c>
      <c r="P373" t="s">
        <v>715</v>
      </c>
      <c r="Q373">
        <v>13.2</v>
      </c>
    </row>
    <row r="374" spans="1:17" x14ac:dyDescent="0.25">
      <c r="A374">
        <v>2025</v>
      </c>
      <c r="B374" t="s">
        <v>699</v>
      </c>
      <c r="C374" t="s">
        <v>716</v>
      </c>
      <c r="D374" t="s">
        <v>83</v>
      </c>
      <c r="E374">
        <v>4.4000000000000004</v>
      </c>
      <c r="F374">
        <v>8</v>
      </c>
      <c r="G374" t="s">
        <v>142</v>
      </c>
      <c r="H374" t="s">
        <v>73</v>
      </c>
      <c r="I374">
        <v>15.2</v>
      </c>
      <c r="J374">
        <v>10.8</v>
      </c>
      <c r="K374">
        <v>13.2</v>
      </c>
      <c r="L374">
        <v>21</v>
      </c>
      <c r="M374">
        <v>311</v>
      </c>
      <c r="N374">
        <v>4</v>
      </c>
      <c r="O374">
        <v>5</v>
      </c>
      <c r="P374" t="s">
        <v>717</v>
      </c>
      <c r="Q374">
        <v>13.2</v>
      </c>
    </row>
    <row r="375" spans="1:17" x14ac:dyDescent="0.25">
      <c r="A375">
        <v>2025</v>
      </c>
      <c r="B375" t="s">
        <v>699</v>
      </c>
      <c r="C375" t="s">
        <v>718</v>
      </c>
      <c r="D375" t="s">
        <v>83</v>
      </c>
      <c r="E375">
        <v>4.4000000000000004</v>
      </c>
      <c r="F375">
        <v>8</v>
      </c>
      <c r="G375" t="s">
        <v>142</v>
      </c>
      <c r="H375" t="s">
        <v>73</v>
      </c>
      <c r="I375">
        <v>14.5</v>
      </c>
      <c r="J375">
        <v>10.199999999999999</v>
      </c>
      <c r="K375">
        <v>12.6</v>
      </c>
      <c r="L375">
        <v>22</v>
      </c>
      <c r="M375">
        <v>296</v>
      </c>
      <c r="N375">
        <v>4</v>
      </c>
      <c r="O375">
        <v>5</v>
      </c>
      <c r="P375" t="s">
        <v>719</v>
      </c>
      <c r="Q375">
        <v>12.6</v>
      </c>
    </row>
    <row r="376" spans="1:17" x14ac:dyDescent="0.25">
      <c r="A376">
        <v>2025</v>
      </c>
      <c r="B376" t="s">
        <v>699</v>
      </c>
      <c r="C376" t="s">
        <v>720</v>
      </c>
      <c r="D376" t="s">
        <v>83</v>
      </c>
      <c r="E376">
        <v>4.4000000000000004</v>
      </c>
      <c r="F376">
        <v>8</v>
      </c>
      <c r="G376" t="s">
        <v>142</v>
      </c>
      <c r="H376" t="s">
        <v>73</v>
      </c>
      <c r="I376">
        <v>15</v>
      </c>
      <c r="J376">
        <v>10.8</v>
      </c>
      <c r="K376">
        <v>13.1</v>
      </c>
      <c r="L376">
        <v>22</v>
      </c>
      <c r="M376">
        <v>309</v>
      </c>
      <c r="N376">
        <v>4</v>
      </c>
      <c r="O376">
        <v>5</v>
      </c>
      <c r="P376" t="s">
        <v>721</v>
      </c>
      <c r="Q376">
        <v>13.1</v>
      </c>
    </row>
    <row r="377" spans="1:17" x14ac:dyDescent="0.25">
      <c r="A377">
        <v>2025</v>
      </c>
      <c r="B377" t="s">
        <v>699</v>
      </c>
      <c r="C377" t="s">
        <v>722</v>
      </c>
      <c r="D377" t="s">
        <v>79</v>
      </c>
      <c r="E377">
        <v>2</v>
      </c>
      <c r="F377">
        <v>4</v>
      </c>
      <c r="G377" t="s">
        <v>314</v>
      </c>
      <c r="H377" t="s">
        <v>73</v>
      </c>
      <c r="I377">
        <v>11.9</v>
      </c>
      <c r="J377">
        <v>8.8000000000000007</v>
      </c>
      <c r="K377">
        <v>10.5</v>
      </c>
      <c r="L377">
        <v>27</v>
      </c>
      <c r="M377">
        <v>247</v>
      </c>
      <c r="N377">
        <v>5</v>
      </c>
      <c r="O377">
        <v>6</v>
      </c>
      <c r="P377" t="s">
        <v>723</v>
      </c>
      <c r="Q377">
        <v>10.5</v>
      </c>
    </row>
    <row r="378" spans="1:17" x14ac:dyDescent="0.25">
      <c r="A378">
        <v>2025</v>
      </c>
      <c r="B378" t="s">
        <v>699</v>
      </c>
      <c r="C378" t="s">
        <v>724</v>
      </c>
      <c r="D378" t="s">
        <v>79</v>
      </c>
      <c r="E378">
        <v>2</v>
      </c>
      <c r="F378">
        <v>4</v>
      </c>
      <c r="G378" t="s">
        <v>142</v>
      </c>
      <c r="H378" t="s">
        <v>73</v>
      </c>
      <c r="I378">
        <v>10.9</v>
      </c>
      <c r="J378">
        <v>8.9</v>
      </c>
      <c r="K378">
        <v>10</v>
      </c>
      <c r="L378">
        <v>28</v>
      </c>
      <c r="M378">
        <v>237</v>
      </c>
      <c r="N378">
        <v>5</v>
      </c>
      <c r="O378">
        <v>6</v>
      </c>
      <c r="P378" t="s">
        <v>725</v>
      </c>
      <c r="Q378">
        <v>10</v>
      </c>
    </row>
    <row r="379" spans="1:17" x14ac:dyDescent="0.25">
      <c r="A379">
        <v>2025</v>
      </c>
      <c r="B379" t="s">
        <v>699</v>
      </c>
      <c r="C379" t="s">
        <v>726</v>
      </c>
      <c r="D379" t="s">
        <v>79</v>
      </c>
      <c r="E379">
        <v>3</v>
      </c>
      <c r="F379">
        <v>6</v>
      </c>
      <c r="G379" t="s">
        <v>142</v>
      </c>
      <c r="H379" t="s">
        <v>73</v>
      </c>
      <c r="I379">
        <v>12.1</v>
      </c>
      <c r="J379">
        <v>9</v>
      </c>
      <c r="K379">
        <v>10.7</v>
      </c>
      <c r="L379">
        <v>26</v>
      </c>
      <c r="M379">
        <v>253</v>
      </c>
      <c r="N379">
        <v>5</v>
      </c>
      <c r="O379">
        <v>6</v>
      </c>
      <c r="P379" t="s">
        <v>727</v>
      </c>
      <c r="Q379">
        <v>10.7</v>
      </c>
    </row>
    <row r="380" spans="1:17" x14ac:dyDescent="0.25">
      <c r="A380">
        <v>2025</v>
      </c>
      <c r="B380" t="s">
        <v>699</v>
      </c>
      <c r="C380" t="s">
        <v>728</v>
      </c>
      <c r="D380" t="s">
        <v>79</v>
      </c>
      <c r="E380">
        <v>3</v>
      </c>
      <c r="F380">
        <v>6</v>
      </c>
      <c r="G380" t="s">
        <v>142</v>
      </c>
      <c r="H380" t="s">
        <v>73</v>
      </c>
      <c r="I380">
        <v>12.6</v>
      </c>
      <c r="J380">
        <v>9.4</v>
      </c>
      <c r="K380">
        <v>11.1</v>
      </c>
      <c r="L380">
        <v>25</v>
      </c>
      <c r="M380">
        <v>261</v>
      </c>
      <c r="N380">
        <v>4</v>
      </c>
      <c r="O380">
        <v>6</v>
      </c>
      <c r="P380" t="s">
        <v>729</v>
      </c>
      <c r="Q380">
        <v>11.1</v>
      </c>
    </row>
    <row r="381" spans="1:17" x14ac:dyDescent="0.25">
      <c r="A381">
        <v>2025</v>
      </c>
      <c r="B381" t="s">
        <v>730</v>
      </c>
      <c r="C381" t="s">
        <v>731</v>
      </c>
      <c r="D381" t="s">
        <v>96</v>
      </c>
      <c r="E381">
        <v>2.5</v>
      </c>
      <c r="F381">
        <v>4</v>
      </c>
      <c r="G381" t="s">
        <v>142</v>
      </c>
      <c r="H381" t="s">
        <v>105</v>
      </c>
      <c r="I381">
        <v>9.6</v>
      </c>
      <c r="J381">
        <v>7</v>
      </c>
      <c r="K381">
        <v>8.4</v>
      </c>
      <c r="L381">
        <v>34</v>
      </c>
      <c r="M381">
        <v>198</v>
      </c>
      <c r="N381">
        <v>6</v>
      </c>
      <c r="O381">
        <v>5</v>
      </c>
      <c r="P381" t="s">
        <v>732</v>
      </c>
      <c r="Q381">
        <v>8.4</v>
      </c>
    </row>
    <row r="382" spans="1:17" x14ac:dyDescent="0.25">
      <c r="A382">
        <v>2025</v>
      </c>
      <c r="B382" t="s">
        <v>730</v>
      </c>
      <c r="C382" t="s">
        <v>733</v>
      </c>
      <c r="D382" t="s">
        <v>96</v>
      </c>
      <c r="E382">
        <v>2.5</v>
      </c>
      <c r="F382">
        <v>4</v>
      </c>
      <c r="G382" t="s">
        <v>734</v>
      </c>
      <c r="H382" t="s">
        <v>105</v>
      </c>
      <c r="I382">
        <v>5.5</v>
      </c>
      <c r="J382">
        <v>5.2</v>
      </c>
      <c r="K382">
        <v>5.3</v>
      </c>
      <c r="L382">
        <v>53</v>
      </c>
      <c r="M382">
        <v>124</v>
      </c>
      <c r="N382">
        <v>8</v>
      </c>
      <c r="O382">
        <v>6</v>
      </c>
      <c r="P382" t="s">
        <v>735</v>
      </c>
      <c r="Q382">
        <v>5.3</v>
      </c>
    </row>
    <row r="383" spans="1:17" x14ac:dyDescent="0.25">
      <c r="A383">
        <v>2025</v>
      </c>
      <c r="B383" t="s">
        <v>730</v>
      </c>
      <c r="C383" t="s">
        <v>736</v>
      </c>
      <c r="D383" t="s">
        <v>96</v>
      </c>
      <c r="E383">
        <v>3.5</v>
      </c>
      <c r="F383">
        <v>6</v>
      </c>
      <c r="G383" t="s">
        <v>142</v>
      </c>
      <c r="H383" t="s">
        <v>105</v>
      </c>
      <c r="I383">
        <v>10.7</v>
      </c>
      <c r="J383">
        <v>7.3</v>
      </c>
      <c r="K383">
        <v>9.1999999999999993</v>
      </c>
      <c r="L383">
        <v>31</v>
      </c>
      <c r="M383">
        <v>214</v>
      </c>
      <c r="N383">
        <v>5</v>
      </c>
      <c r="O383">
        <v>4</v>
      </c>
      <c r="P383" t="s">
        <v>737</v>
      </c>
      <c r="Q383">
        <v>9.1999999999999993</v>
      </c>
    </row>
    <row r="384" spans="1:17" x14ac:dyDescent="0.25">
      <c r="A384">
        <v>2025</v>
      </c>
      <c r="B384" t="s">
        <v>730</v>
      </c>
      <c r="C384" t="s">
        <v>738</v>
      </c>
      <c r="D384" t="s">
        <v>96</v>
      </c>
      <c r="E384">
        <v>3.5</v>
      </c>
      <c r="F384">
        <v>6</v>
      </c>
      <c r="G384" t="s">
        <v>142</v>
      </c>
      <c r="H384" t="s">
        <v>105</v>
      </c>
      <c r="I384">
        <v>10.9</v>
      </c>
      <c r="J384">
        <v>7.5</v>
      </c>
      <c r="K384">
        <v>9.4</v>
      </c>
      <c r="L384">
        <v>30</v>
      </c>
      <c r="M384">
        <v>219</v>
      </c>
      <c r="N384">
        <v>5</v>
      </c>
      <c r="O384">
        <v>4</v>
      </c>
      <c r="P384" t="s">
        <v>739</v>
      </c>
      <c r="Q384">
        <v>9.4</v>
      </c>
    </row>
    <row r="385" spans="1:17" x14ac:dyDescent="0.25">
      <c r="A385">
        <v>2025</v>
      </c>
      <c r="B385" t="s">
        <v>730</v>
      </c>
      <c r="C385" t="s">
        <v>740</v>
      </c>
      <c r="D385" t="s">
        <v>83</v>
      </c>
      <c r="E385">
        <v>3.4</v>
      </c>
      <c r="F385">
        <v>6</v>
      </c>
      <c r="G385" t="s">
        <v>80</v>
      </c>
      <c r="H385" t="s">
        <v>73</v>
      </c>
      <c r="I385">
        <v>15.3</v>
      </c>
      <c r="J385">
        <v>11.2</v>
      </c>
      <c r="K385">
        <v>13.5</v>
      </c>
      <c r="L385">
        <v>21</v>
      </c>
      <c r="M385">
        <v>314</v>
      </c>
      <c r="N385">
        <v>4</v>
      </c>
      <c r="O385">
        <v>4</v>
      </c>
      <c r="P385" t="s">
        <v>741</v>
      </c>
      <c r="Q385">
        <v>13.5</v>
      </c>
    </row>
    <row r="386" spans="1:17" x14ac:dyDescent="0.25">
      <c r="A386">
        <v>2025</v>
      </c>
      <c r="B386" t="s">
        <v>730</v>
      </c>
      <c r="C386" t="s">
        <v>742</v>
      </c>
      <c r="D386" t="s">
        <v>90</v>
      </c>
      <c r="E386">
        <v>3.5</v>
      </c>
      <c r="F386">
        <v>6</v>
      </c>
      <c r="G386" t="s">
        <v>687</v>
      </c>
      <c r="H386" t="s">
        <v>73</v>
      </c>
      <c r="I386">
        <v>12.2</v>
      </c>
      <c r="J386">
        <v>9</v>
      </c>
      <c r="K386">
        <v>10.8</v>
      </c>
      <c r="L386">
        <v>26</v>
      </c>
      <c r="M386">
        <v>253</v>
      </c>
      <c r="N386">
        <v>5</v>
      </c>
      <c r="O386">
        <v>4</v>
      </c>
      <c r="P386" t="s">
        <v>743</v>
      </c>
      <c r="Q386">
        <v>10.8</v>
      </c>
    </row>
    <row r="387" spans="1:17" x14ac:dyDescent="0.25">
      <c r="A387">
        <v>2025</v>
      </c>
      <c r="B387" t="s">
        <v>730</v>
      </c>
      <c r="C387" t="s">
        <v>744</v>
      </c>
      <c r="D387" t="s">
        <v>90</v>
      </c>
      <c r="E387">
        <v>3.5</v>
      </c>
      <c r="F387">
        <v>6</v>
      </c>
      <c r="G387" t="s">
        <v>687</v>
      </c>
      <c r="H387" t="s">
        <v>73</v>
      </c>
      <c r="I387">
        <v>12.2</v>
      </c>
      <c r="J387">
        <v>9</v>
      </c>
      <c r="K387">
        <v>10.8</v>
      </c>
      <c r="L387">
        <v>26</v>
      </c>
      <c r="M387">
        <v>253</v>
      </c>
      <c r="N387">
        <v>5</v>
      </c>
      <c r="O387">
        <v>4</v>
      </c>
      <c r="P387" t="s">
        <v>745</v>
      </c>
      <c r="Q387">
        <v>10.8</v>
      </c>
    </row>
    <row r="388" spans="1:17" x14ac:dyDescent="0.25">
      <c r="A388">
        <v>2025</v>
      </c>
      <c r="B388" t="s">
        <v>730</v>
      </c>
      <c r="C388" t="s">
        <v>746</v>
      </c>
      <c r="D388" t="s">
        <v>90</v>
      </c>
      <c r="E388">
        <v>5</v>
      </c>
      <c r="F388">
        <v>8</v>
      </c>
      <c r="G388" t="s">
        <v>142</v>
      </c>
      <c r="H388" t="s">
        <v>73</v>
      </c>
      <c r="I388">
        <v>14.1</v>
      </c>
      <c r="J388">
        <v>9.3000000000000007</v>
      </c>
      <c r="K388">
        <v>11.9</v>
      </c>
      <c r="L388">
        <v>24</v>
      </c>
      <c r="M388">
        <v>280</v>
      </c>
      <c r="N388">
        <v>4</v>
      </c>
      <c r="O388">
        <v>4</v>
      </c>
      <c r="P388" t="s">
        <v>747</v>
      </c>
      <c r="Q388">
        <v>11.9</v>
      </c>
    </row>
    <row r="389" spans="1:17" x14ac:dyDescent="0.25">
      <c r="A389">
        <v>2025</v>
      </c>
      <c r="B389" t="s">
        <v>730</v>
      </c>
      <c r="C389" t="s">
        <v>748</v>
      </c>
      <c r="D389" t="s">
        <v>118</v>
      </c>
      <c r="E389">
        <v>5</v>
      </c>
      <c r="F389">
        <v>8</v>
      </c>
      <c r="G389" t="s">
        <v>80</v>
      </c>
      <c r="H389" t="s">
        <v>73</v>
      </c>
      <c r="I389">
        <v>15.2</v>
      </c>
      <c r="J389">
        <v>9.6999999999999993</v>
      </c>
      <c r="K389">
        <v>12.7</v>
      </c>
      <c r="L389">
        <v>22</v>
      </c>
      <c r="M389">
        <v>299</v>
      </c>
      <c r="N389">
        <v>4</v>
      </c>
      <c r="O389">
        <v>4</v>
      </c>
      <c r="P389" t="s">
        <v>749</v>
      </c>
      <c r="Q389">
        <v>12.7</v>
      </c>
    </row>
    <row r="390" spans="1:17" x14ac:dyDescent="0.25">
      <c r="A390">
        <v>2025</v>
      </c>
      <c r="B390" t="s">
        <v>730</v>
      </c>
      <c r="C390" t="s">
        <v>750</v>
      </c>
      <c r="D390" t="s">
        <v>109</v>
      </c>
      <c r="E390">
        <v>5</v>
      </c>
      <c r="F390">
        <v>8</v>
      </c>
      <c r="G390" t="s">
        <v>80</v>
      </c>
      <c r="H390" t="s">
        <v>73</v>
      </c>
      <c r="I390">
        <v>16</v>
      </c>
      <c r="J390">
        <v>9.5</v>
      </c>
      <c r="K390">
        <v>13</v>
      </c>
      <c r="L390">
        <v>22</v>
      </c>
      <c r="M390">
        <v>304</v>
      </c>
      <c r="N390">
        <v>4</v>
      </c>
      <c r="O390">
        <v>4</v>
      </c>
      <c r="P390" t="s">
        <v>751</v>
      </c>
      <c r="Q390">
        <v>13</v>
      </c>
    </row>
    <row r="391" spans="1:17" x14ac:dyDescent="0.25">
      <c r="A391">
        <v>2025</v>
      </c>
      <c r="B391" t="s">
        <v>730</v>
      </c>
      <c r="C391" t="s">
        <v>752</v>
      </c>
      <c r="D391" t="s">
        <v>118</v>
      </c>
      <c r="E391">
        <v>3.5</v>
      </c>
      <c r="F391">
        <v>6</v>
      </c>
      <c r="G391" t="s">
        <v>753</v>
      </c>
      <c r="H391" t="s">
        <v>73</v>
      </c>
      <c r="I391">
        <v>9</v>
      </c>
      <c r="J391">
        <v>7.1</v>
      </c>
      <c r="K391">
        <v>8.1</v>
      </c>
      <c r="L391">
        <v>35</v>
      </c>
      <c r="M391">
        <v>189</v>
      </c>
      <c r="N391">
        <v>6</v>
      </c>
      <c r="O391">
        <v>6</v>
      </c>
      <c r="P391" t="s">
        <v>754</v>
      </c>
      <c r="Q391">
        <v>8.1</v>
      </c>
    </row>
    <row r="392" spans="1:17" x14ac:dyDescent="0.25">
      <c r="A392">
        <v>2025</v>
      </c>
      <c r="B392" t="s">
        <v>730</v>
      </c>
      <c r="C392" t="s">
        <v>755</v>
      </c>
      <c r="D392" t="s">
        <v>96</v>
      </c>
      <c r="E392">
        <v>3.4</v>
      </c>
      <c r="F392">
        <v>6</v>
      </c>
      <c r="G392" t="s">
        <v>80</v>
      </c>
      <c r="H392" t="s">
        <v>73</v>
      </c>
      <c r="I392">
        <v>13.8</v>
      </c>
      <c r="J392">
        <v>8.6999999999999993</v>
      </c>
      <c r="K392">
        <v>11.2</v>
      </c>
      <c r="L392">
        <v>25</v>
      </c>
      <c r="M392">
        <v>271</v>
      </c>
      <c r="N392">
        <v>4</v>
      </c>
      <c r="O392">
        <v>4</v>
      </c>
      <c r="P392" t="s">
        <v>756</v>
      </c>
      <c r="Q392">
        <v>11.2</v>
      </c>
    </row>
    <row r="393" spans="1:17" x14ac:dyDescent="0.25">
      <c r="A393">
        <v>2025</v>
      </c>
      <c r="B393" t="s">
        <v>730</v>
      </c>
      <c r="C393" t="s">
        <v>757</v>
      </c>
      <c r="D393" t="s">
        <v>96</v>
      </c>
      <c r="E393">
        <v>3.5</v>
      </c>
      <c r="F393">
        <v>6</v>
      </c>
      <c r="G393" t="s">
        <v>753</v>
      </c>
      <c r="H393" t="s">
        <v>73</v>
      </c>
      <c r="I393">
        <v>10.1</v>
      </c>
      <c r="J393">
        <v>8.1</v>
      </c>
      <c r="K393">
        <v>9.1999999999999993</v>
      </c>
      <c r="L393">
        <v>31</v>
      </c>
      <c r="M393">
        <v>217</v>
      </c>
      <c r="N393">
        <v>5</v>
      </c>
      <c r="O393">
        <v>6</v>
      </c>
      <c r="P393" t="s">
        <v>758</v>
      </c>
      <c r="Q393">
        <v>9.1999999999999993</v>
      </c>
    </row>
    <row r="394" spans="1:17" x14ac:dyDescent="0.25">
      <c r="A394">
        <v>2025</v>
      </c>
      <c r="B394" t="s">
        <v>730</v>
      </c>
      <c r="C394" t="s">
        <v>759</v>
      </c>
      <c r="D394" t="s">
        <v>83</v>
      </c>
      <c r="E394">
        <v>3.4</v>
      </c>
      <c r="F394">
        <v>6</v>
      </c>
      <c r="G394" t="s">
        <v>80</v>
      </c>
      <c r="H394" t="s">
        <v>73</v>
      </c>
      <c r="I394">
        <v>14.2</v>
      </c>
      <c r="J394">
        <v>10.8</v>
      </c>
      <c r="K394">
        <v>12.7</v>
      </c>
      <c r="L394">
        <v>22</v>
      </c>
      <c r="M394">
        <v>298</v>
      </c>
      <c r="N394">
        <v>4</v>
      </c>
      <c r="O394">
        <v>4</v>
      </c>
      <c r="P394" t="s">
        <v>760</v>
      </c>
      <c r="Q394">
        <v>12.7</v>
      </c>
    </row>
    <row r="395" spans="1:17" x14ac:dyDescent="0.25">
      <c r="A395">
        <v>2025</v>
      </c>
      <c r="B395" t="s">
        <v>730</v>
      </c>
      <c r="C395" t="s">
        <v>761</v>
      </c>
      <c r="D395" t="s">
        <v>83</v>
      </c>
      <c r="E395">
        <v>3.4</v>
      </c>
      <c r="F395">
        <v>6</v>
      </c>
      <c r="G395" t="s">
        <v>80</v>
      </c>
      <c r="H395" t="s">
        <v>73</v>
      </c>
      <c r="I395">
        <v>12.5</v>
      </c>
      <c r="J395">
        <v>10.7</v>
      </c>
      <c r="K395">
        <v>11.7</v>
      </c>
      <c r="L395">
        <v>24</v>
      </c>
      <c r="M395">
        <v>272</v>
      </c>
      <c r="N395">
        <v>4</v>
      </c>
      <c r="O395">
        <v>4</v>
      </c>
      <c r="P395" t="s">
        <v>762</v>
      </c>
      <c r="Q395">
        <v>11.7</v>
      </c>
    </row>
    <row r="396" spans="1:17" x14ac:dyDescent="0.25">
      <c r="A396">
        <v>2025</v>
      </c>
      <c r="B396" t="s">
        <v>730</v>
      </c>
      <c r="C396" t="s">
        <v>763</v>
      </c>
      <c r="D396" t="s">
        <v>79</v>
      </c>
      <c r="E396">
        <v>2.5</v>
      </c>
      <c r="F396">
        <v>4</v>
      </c>
      <c r="G396" t="s">
        <v>142</v>
      </c>
      <c r="H396" t="s">
        <v>105</v>
      </c>
      <c r="I396">
        <v>9.4</v>
      </c>
      <c r="J396">
        <v>7.4</v>
      </c>
      <c r="K396">
        <v>8.4</v>
      </c>
      <c r="L396">
        <v>34</v>
      </c>
      <c r="M396">
        <v>198</v>
      </c>
      <c r="N396">
        <v>6</v>
      </c>
      <c r="O396">
        <v>5</v>
      </c>
      <c r="P396" t="s">
        <v>764</v>
      </c>
      <c r="Q396">
        <v>8.4</v>
      </c>
    </row>
    <row r="397" spans="1:17" x14ac:dyDescent="0.25">
      <c r="A397">
        <v>2025</v>
      </c>
      <c r="B397" t="s">
        <v>730</v>
      </c>
      <c r="C397" t="s">
        <v>765</v>
      </c>
      <c r="D397" t="s">
        <v>79</v>
      </c>
      <c r="E397">
        <v>2.4</v>
      </c>
      <c r="F397">
        <v>4</v>
      </c>
      <c r="G397" t="s">
        <v>142</v>
      </c>
      <c r="H397" t="s">
        <v>73</v>
      </c>
      <c r="I397">
        <v>10.9</v>
      </c>
      <c r="J397">
        <v>8.5</v>
      </c>
      <c r="K397">
        <v>9.8000000000000007</v>
      </c>
      <c r="L397">
        <v>29</v>
      </c>
      <c r="M397">
        <v>228</v>
      </c>
      <c r="N397">
        <v>5</v>
      </c>
      <c r="O397">
        <v>6</v>
      </c>
      <c r="P397" t="s">
        <v>766</v>
      </c>
      <c r="Q397">
        <v>9.8000000000000007</v>
      </c>
    </row>
    <row r="398" spans="1:17" x14ac:dyDescent="0.25">
      <c r="A398">
        <v>2025</v>
      </c>
      <c r="B398" t="s">
        <v>730</v>
      </c>
      <c r="C398" t="s">
        <v>767</v>
      </c>
      <c r="D398" t="s">
        <v>79</v>
      </c>
      <c r="E398">
        <v>2.4</v>
      </c>
      <c r="F398">
        <v>4</v>
      </c>
      <c r="G398" t="s">
        <v>142</v>
      </c>
      <c r="H398" t="s">
        <v>73</v>
      </c>
      <c r="I398">
        <v>11.2</v>
      </c>
      <c r="J398">
        <v>8.3000000000000007</v>
      </c>
      <c r="K398">
        <v>9.6999999999999993</v>
      </c>
      <c r="L398">
        <v>29</v>
      </c>
      <c r="M398">
        <v>230</v>
      </c>
      <c r="N398">
        <v>5</v>
      </c>
      <c r="O398">
        <v>6</v>
      </c>
      <c r="P398" t="s">
        <v>768</v>
      </c>
      <c r="Q398">
        <v>9.6999999999999993</v>
      </c>
    </row>
    <row r="399" spans="1:17" x14ac:dyDescent="0.25">
      <c r="A399">
        <v>2025</v>
      </c>
      <c r="B399" t="s">
        <v>730</v>
      </c>
      <c r="C399" t="s">
        <v>769</v>
      </c>
      <c r="D399" t="s">
        <v>79</v>
      </c>
      <c r="E399">
        <v>2.5</v>
      </c>
      <c r="F399">
        <v>4</v>
      </c>
      <c r="G399" t="s">
        <v>734</v>
      </c>
      <c r="H399" t="s">
        <v>73</v>
      </c>
      <c r="I399">
        <v>5.7</v>
      </c>
      <c r="J399">
        <v>6.4</v>
      </c>
      <c r="K399">
        <v>6</v>
      </c>
      <c r="L399">
        <v>47</v>
      </c>
      <c r="M399">
        <v>140</v>
      </c>
      <c r="N399">
        <v>7</v>
      </c>
      <c r="O399">
        <v>6</v>
      </c>
      <c r="P399" t="s">
        <v>770</v>
      </c>
      <c r="Q399">
        <v>6</v>
      </c>
    </row>
    <row r="400" spans="1:17" x14ac:dyDescent="0.25">
      <c r="A400">
        <v>2025</v>
      </c>
      <c r="B400" t="s">
        <v>730</v>
      </c>
      <c r="C400" t="s">
        <v>771</v>
      </c>
      <c r="D400" t="s">
        <v>118</v>
      </c>
      <c r="E400">
        <v>3.5</v>
      </c>
      <c r="F400">
        <v>6</v>
      </c>
      <c r="G400" t="s">
        <v>687</v>
      </c>
      <c r="H400" t="s">
        <v>73</v>
      </c>
      <c r="I400">
        <v>12.2</v>
      </c>
      <c r="J400">
        <v>9</v>
      </c>
      <c r="K400">
        <v>10.8</v>
      </c>
      <c r="L400">
        <v>26</v>
      </c>
      <c r="M400">
        <v>253</v>
      </c>
      <c r="N400">
        <v>5</v>
      </c>
      <c r="O400">
        <v>4</v>
      </c>
      <c r="P400" t="s">
        <v>772</v>
      </c>
      <c r="Q400">
        <v>10.8</v>
      </c>
    </row>
    <row r="401" spans="1:17" x14ac:dyDescent="0.25">
      <c r="A401">
        <v>2025</v>
      </c>
      <c r="B401" t="s">
        <v>730</v>
      </c>
      <c r="C401" t="s">
        <v>773</v>
      </c>
      <c r="D401" t="s">
        <v>118</v>
      </c>
      <c r="E401">
        <v>3.5</v>
      </c>
      <c r="F401">
        <v>6</v>
      </c>
      <c r="G401" t="s">
        <v>687</v>
      </c>
      <c r="H401" t="s">
        <v>73</v>
      </c>
      <c r="I401">
        <v>12.2</v>
      </c>
      <c r="J401">
        <v>9</v>
      </c>
      <c r="K401">
        <v>10.8</v>
      </c>
      <c r="L401">
        <v>26</v>
      </c>
      <c r="M401">
        <v>253</v>
      </c>
      <c r="N401">
        <v>5</v>
      </c>
      <c r="O401">
        <v>4</v>
      </c>
      <c r="P401" t="s">
        <v>774</v>
      </c>
      <c r="Q401">
        <v>10.8</v>
      </c>
    </row>
    <row r="402" spans="1:17" x14ac:dyDescent="0.25">
      <c r="A402">
        <v>2025</v>
      </c>
      <c r="B402" t="s">
        <v>730</v>
      </c>
      <c r="C402" t="s">
        <v>775</v>
      </c>
      <c r="D402" t="s">
        <v>118</v>
      </c>
      <c r="E402">
        <v>5</v>
      </c>
      <c r="F402">
        <v>8</v>
      </c>
      <c r="G402" t="s">
        <v>142</v>
      </c>
      <c r="H402" t="s">
        <v>73</v>
      </c>
      <c r="I402">
        <v>14.4</v>
      </c>
      <c r="J402">
        <v>9.6</v>
      </c>
      <c r="K402">
        <v>12.2</v>
      </c>
      <c r="L402">
        <v>23</v>
      </c>
      <c r="M402">
        <v>285</v>
      </c>
      <c r="N402">
        <v>4</v>
      </c>
      <c r="O402">
        <v>4</v>
      </c>
      <c r="P402" t="s">
        <v>776</v>
      </c>
      <c r="Q402">
        <v>12.2</v>
      </c>
    </row>
    <row r="403" spans="1:17" x14ac:dyDescent="0.25">
      <c r="A403">
        <v>2025</v>
      </c>
      <c r="B403" t="s">
        <v>730</v>
      </c>
      <c r="C403" t="s">
        <v>777</v>
      </c>
      <c r="D403" t="s">
        <v>79</v>
      </c>
      <c r="E403">
        <v>2.4</v>
      </c>
      <c r="F403">
        <v>4</v>
      </c>
      <c r="G403" t="s">
        <v>142</v>
      </c>
      <c r="H403" t="s">
        <v>73</v>
      </c>
      <c r="I403">
        <v>11.2</v>
      </c>
      <c r="J403">
        <v>8.3000000000000007</v>
      </c>
      <c r="K403">
        <v>9.9</v>
      </c>
      <c r="L403">
        <v>29</v>
      </c>
      <c r="M403">
        <v>230</v>
      </c>
      <c r="N403">
        <v>5</v>
      </c>
      <c r="O403">
        <v>6</v>
      </c>
      <c r="P403" t="s">
        <v>778</v>
      </c>
      <c r="Q403">
        <v>9.9</v>
      </c>
    </row>
    <row r="404" spans="1:17" x14ac:dyDescent="0.25">
      <c r="A404">
        <v>2025</v>
      </c>
      <c r="B404" t="s">
        <v>730</v>
      </c>
      <c r="C404" t="s">
        <v>779</v>
      </c>
      <c r="D404" t="s">
        <v>79</v>
      </c>
      <c r="E404">
        <v>2.5</v>
      </c>
      <c r="F404">
        <v>4</v>
      </c>
      <c r="G404" t="s">
        <v>734</v>
      </c>
      <c r="H404" t="s">
        <v>73</v>
      </c>
      <c r="I404">
        <v>6.3</v>
      </c>
      <c r="J404">
        <v>6.8</v>
      </c>
      <c r="K404">
        <v>6.5</v>
      </c>
      <c r="L404">
        <v>43</v>
      </c>
      <c r="M404">
        <v>151</v>
      </c>
      <c r="N404">
        <v>7</v>
      </c>
      <c r="O404">
        <v>6</v>
      </c>
      <c r="P404" t="s">
        <v>780</v>
      </c>
      <c r="Q404">
        <v>6.5</v>
      </c>
    </row>
    <row r="405" spans="1:17" x14ac:dyDescent="0.25">
      <c r="A405">
        <v>2025</v>
      </c>
      <c r="B405" t="s">
        <v>730</v>
      </c>
      <c r="C405" t="s">
        <v>781</v>
      </c>
      <c r="D405" t="s">
        <v>79</v>
      </c>
      <c r="E405">
        <v>2.4</v>
      </c>
      <c r="F405">
        <v>4</v>
      </c>
      <c r="G405" t="s">
        <v>687</v>
      </c>
      <c r="H405" t="s">
        <v>73</v>
      </c>
      <c r="I405">
        <v>8.6999999999999993</v>
      </c>
      <c r="J405">
        <v>8.4</v>
      </c>
      <c r="K405">
        <v>8.6</v>
      </c>
      <c r="L405">
        <v>33</v>
      </c>
      <c r="M405">
        <v>199</v>
      </c>
      <c r="N405">
        <v>6</v>
      </c>
      <c r="O405">
        <v>6</v>
      </c>
      <c r="P405" t="s">
        <v>782</v>
      </c>
      <c r="Q405">
        <v>8.6</v>
      </c>
    </row>
    <row r="406" spans="1:17" x14ac:dyDescent="0.25">
      <c r="A406">
        <v>2025</v>
      </c>
      <c r="B406" t="s">
        <v>730</v>
      </c>
      <c r="C406" t="s">
        <v>783</v>
      </c>
      <c r="D406" t="s">
        <v>83</v>
      </c>
      <c r="E406">
        <v>2.4</v>
      </c>
      <c r="F406">
        <v>4</v>
      </c>
      <c r="G406" t="s">
        <v>142</v>
      </c>
      <c r="H406" t="s">
        <v>73</v>
      </c>
      <c r="I406">
        <v>11.5</v>
      </c>
      <c r="J406">
        <v>8.9</v>
      </c>
      <c r="K406">
        <v>10.3</v>
      </c>
      <c r="L406">
        <v>27</v>
      </c>
      <c r="M406">
        <v>241</v>
      </c>
      <c r="N406">
        <v>5</v>
      </c>
      <c r="O406">
        <v>6</v>
      </c>
      <c r="P406" t="s">
        <v>784</v>
      </c>
      <c r="Q406">
        <v>10.3</v>
      </c>
    </row>
    <row r="407" spans="1:17" x14ac:dyDescent="0.25">
      <c r="A407">
        <v>2025</v>
      </c>
      <c r="B407" t="s">
        <v>730</v>
      </c>
      <c r="C407" t="s">
        <v>785</v>
      </c>
      <c r="D407" t="s">
        <v>83</v>
      </c>
      <c r="E407">
        <v>2.4</v>
      </c>
      <c r="F407">
        <v>4</v>
      </c>
      <c r="G407" t="s">
        <v>687</v>
      </c>
      <c r="H407" t="s">
        <v>73</v>
      </c>
      <c r="I407">
        <v>8.6999999999999993</v>
      </c>
      <c r="J407">
        <v>8.4</v>
      </c>
      <c r="K407">
        <v>8.6</v>
      </c>
      <c r="L407">
        <v>33</v>
      </c>
      <c r="M407">
        <v>200</v>
      </c>
      <c r="N407">
        <v>6</v>
      </c>
      <c r="O407">
        <v>6</v>
      </c>
      <c r="P407" t="s">
        <v>786</v>
      </c>
      <c r="Q407">
        <v>8.6</v>
      </c>
    </row>
    <row r="408" spans="1:17" x14ac:dyDescent="0.25">
      <c r="A408">
        <v>2025</v>
      </c>
      <c r="B408" t="s">
        <v>730</v>
      </c>
      <c r="C408" t="s">
        <v>787</v>
      </c>
      <c r="D408" t="s">
        <v>90</v>
      </c>
      <c r="E408">
        <v>2</v>
      </c>
      <c r="F408">
        <v>4</v>
      </c>
      <c r="G408" t="s">
        <v>309</v>
      </c>
      <c r="H408" t="s">
        <v>105</v>
      </c>
      <c r="I408">
        <v>5.3</v>
      </c>
      <c r="J408">
        <v>5.9</v>
      </c>
      <c r="K408">
        <v>5.6</v>
      </c>
      <c r="L408">
        <v>50</v>
      </c>
      <c r="M408">
        <v>130</v>
      </c>
      <c r="N408">
        <v>7</v>
      </c>
      <c r="O408">
        <v>6</v>
      </c>
      <c r="P408" t="s">
        <v>788</v>
      </c>
      <c r="Q408">
        <v>5.6</v>
      </c>
    </row>
    <row r="409" spans="1:17" x14ac:dyDescent="0.25">
      <c r="A409">
        <v>2025</v>
      </c>
      <c r="B409" t="s">
        <v>730</v>
      </c>
      <c r="C409" t="s">
        <v>787</v>
      </c>
      <c r="D409" t="s">
        <v>90</v>
      </c>
      <c r="E409">
        <v>2</v>
      </c>
      <c r="F409">
        <v>4</v>
      </c>
      <c r="G409" t="s">
        <v>734</v>
      </c>
      <c r="H409" t="s">
        <v>105</v>
      </c>
      <c r="I409">
        <v>5.3</v>
      </c>
      <c r="J409">
        <v>5.9</v>
      </c>
      <c r="K409">
        <v>5.6</v>
      </c>
      <c r="L409">
        <v>50</v>
      </c>
      <c r="M409">
        <v>130</v>
      </c>
      <c r="N409">
        <v>7</v>
      </c>
      <c r="O409">
        <v>6</v>
      </c>
      <c r="P409" t="s">
        <v>788</v>
      </c>
      <c r="Q409">
        <v>5.6</v>
      </c>
    </row>
    <row r="410" spans="1:17" x14ac:dyDescent="0.25">
      <c r="A410">
        <v>2025</v>
      </c>
      <c r="B410" t="s">
        <v>789</v>
      </c>
      <c r="C410" t="s">
        <v>790</v>
      </c>
      <c r="D410" t="s">
        <v>83</v>
      </c>
      <c r="E410">
        <v>3</v>
      </c>
      <c r="F410">
        <v>6</v>
      </c>
      <c r="G410" t="s">
        <v>80</v>
      </c>
      <c r="H410" t="s">
        <v>105</v>
      </c>
      <c r="I410">
        <v>13.8</v>
      </c>
      <c r="J410">
        <v>9.5</v>
      </c>
      <c r="K410">
        <v>11.9</v>
      </c>
      <c r="L410">
        <v>24</v>
      </c>
      <c r="M410">
        <v>278</v>
      </c>
      <c r="N410">
        <v>4</v>
      </c>
      <c r="O410">
        <v>5</v>
      </c>
      <c r="P410" t="s">
        <v>791</v>
      </c>
      <c r="Q410">
        <v>11.9</v>
      </c>
    </row>
    <row r="411" spans="1:17" x14ac:dyDescent="0.25">
      <c r="A411">
        <v>2025</v>
      </c>
      <c r="B411" t="s">
        <v>789</v>
      </c>
      <c r="C411" t="s">
        <v>792</v>
      </c>
      <c r="D411" t="s">
        <v>79</v>
      </c>
      <c r="E411">
        <v>2</v>
      </c>
      <c r="F411">
        <v>4</v>
      </c>
      <c r="G411" t="s">
        <v>142</v>
      </c>
      <c r="H411" t="s">
        <v>105</v>
      </c>
      <c r="I411">
        <v>11.2</v>
      </c>
      <c r="J411">
        <v>8.3000000000000007</v>
      </c>
      <c r="K411">
        <v>9.9</v>
      </c>
      <c r="L411">
        <v>29</v>
      </c>
      <c r="M411">
        <v>232</v>
      </c>
      <c r="N411">
        <v>5</v>
      </c>
      <c r="O411">
        <v>6</v>
      </c>
      <c r="P411" t="s">
        <v>793</v>
      </c>
      <c r="Q411">
        <v>9.9</v>
      </c>
    </row>
    <row r="412" spans="1:17" x14ac:dyDescent="0.25">
      <c r="A412">
        <v>2025</v>
      </c>
      <c r="B412" t="s">
        <v>789</v>
      </c>
      <c r="C412" t="s">
        <v>794</v>
      </c>
      <c r="D412" t="s">
        <v>79</v>
      </c>
      <c r="E412">
        <v>2</v>
      </c>
      <c r="F412">
        <v>4</v>
      </c>
      <c r="G412" t="s">
        <v>97</v>
      </c>
      <c r="H412" t="s">
        <v>105</v>
      </c>
      <c r="I412">
        <v>11.2</v>
      </c>
      <c r="J412">
        <v>8.1</v>
      </c>
      <c r="K412">
        <v>9.8000000000000007</v>
      </c>
      <c r="L412">
        <v>29</v>
      </c>
      <c r="M412">
        <v>231</v>
      </c>
      <c r="N412">
        <v>5</v>
      </c>
      <c r="O412">
        <v>6</v>
      </c>
      <c r="P412" t="s">
        <v>795</v>
      </c>
      <c r="Q412">
        <v>9.8000000000000007</v>
      </c>
    </row>
    <row r="413" spans="1:17" x14ac:dyDescent="0.25">
      <c r="A413">
        <v>2025</v>
      </c>
      <c r="B413" t="s">
        <v>789</v>
      </c>
      <c r="C413" t="s">
        <v>796</v>
      </c>
      <c r="D413" t="s">
        <v>79</v>
      </c>
      <c r="E413">
        <v>2</v>
      </c>
      <c r="F413">
        <v>4</v>
      </c>
      <c r="G413" t="s">
        <v>309</v>
      </c>
      <c r="H413" t="s">
        <v>105</v>
      </c>
      <c r="I413">
        <v>7.9</v>
      </c>
      <c r="J413">
        <v>7.6</v>
      </c>
      <c r="K413">
        <v>7.7</v>
      </c>
      <c r="L413">
        <v>37</v>
      </c>
      <c r="M413">
        <v>180</v>
      </c>
      <c r="N413">
        <v>6</v>
      </c>
      <c r="O413">
        <v>6</v>
      </c>
      <c r="P413" t="s">
        <v>797</v>
      </c>
      <c r="Q413">
        <v>7.7</v>
      </c>
    </row>
    <row r="414" spans="1:17" x14ac:dyDescent="0.25">
      <c r="A414">
        <v>2025</v>
      </c>
      <c r="B414" t="s">
        <v>789</v>
      </c>
      <c r="C414" t="s">
        <v>798</v>
      </c>
      <c r="D414" t="s">
        <v>83</v>
      </c>
      <c r="E414">
        <v>3.5</v>
      </c>
      <c r="F414">
        <v>6</v>
      </c>
      <c r="G414" t="s">
        <v>80</v>
      </c>
      <c r="H414" t="s">
        <v>105</v>
      </c>
      <c r="I414">
        <v>15.6</v>
      </c>
      <c r="J414">
        <v>10.8</v>
      </c>
      <c r="K414">
        <v>13.5</v>
      </c>
      <c r="L414">
        <v>21</v>
      </c>
      <c r="M414">
        <v>317</v>
      </c>
      <c r="N414">
        <v>3</v>
      </c>
      <c r="O414">
        <v>6</v>
      </c>
      <c r="P414" t="s">
        <v>799</v>
      </c>
      <c r="Q414">
        <v>13.5</v>
      </c>
    </row>
    <row r="415" spans="1:17" x14ac:dyDescent="0.25">
      <c r="A415">
        <v>2025</v>
      </c>
      <c r="B415" t="s">
        <v>800</v>
      </c>
      <c r="C415" t="s">
        <v>801</v>
      </c>
      <c r="D415" t="s">
        <v>79</v>
      </c>
      <c r="E415">
        <v>2.5</v>
      </c>
      <c r="F415">
        <v>4</v>
      </c>
      <c r="G415" t="s">
        <v>687</v>
      </c>
      <c r="H415" t="s">
        <v>105</v>
      </c>
      <c r="I415">
        <v>9</v>
      </c>
      <c r="J415">
        <v>7.1</v>
      </c>
      <c r="K415">
        <v>8.1999999999999993</v>
      </c>
      <c r="L415">
        <v>34</v>
      </c>
      <c r="M415">
        <v>192</v>
      </c>
      <c r="N415">
        <v>6</v>
      </c>
      <c r="O415">
        <v>6</v>
      </c>
      <c r="P415" t="s">
        <v>802</v>
      </c>
      <c r="Q415">
        <v>8.1999999999999993</v>
      </c>
    </row>
    <row r="416" spans="1:17" x14ac:dyDescent="0.25">
      <c r="A416">
        <v>2025</v>
      </c>
      <c r="B416" t="s">
        <v>800</v>
      </c>
      <c r="C416" t="s">
        <v>803</v>
      </c>
      <c r="D416" t="s">
        <v>79</v>
      </c>
      <c r="E416">
        <v>2.5</v>
      </c>
      <c r="F416">
        <v>4</v>
      </c>
      <c r="G416" t="s">
        <v>687</v>
      </c>
      <c r="H416" t="s">
        <v>105</v>
      </c>
      <c r="I416">
        <v>10.5</v>
      </c>
      <c r="J416">
        <v>7.9</v>
      </c>
      <c r="K416">
        <v>9.3000000000000007</v>
      </c>
      <c r="L416">
        <v>30</v>
      </c>
      <c r="M416">
        <v>220</v>
      </c>
      <c r="N416">
        <v>5</v>
      </c>
      <c r="O416">
        <v>4</v>
      </c>
      <c r="P416" t="s">
        <v>804</v>
      </c>
      <c r="Q416">
        <v>9.3000000000000007</v>
      </c>
    </row>
    <row r="417" spans="1:17" x14ac:dyDescent="0.25">
      <c r="A417">
        <v>2025</v>
      </c>
      <c r="B417" t="s">
        <v>800</v>
      </c>
      <c r="C417" t="s">
        <v>805</v>
      </c>
      <c r="D417" t="s">
        <v>79</v>
      </c>
      <c r="E417">
        <v>2.5</v>
      </c>
      <c r="F417">
        <v>4</v>
      </c>
      <c r="G417" t="s">
        <v>687</v>
      </c>
      <c r="H417" t="s">
        <v>105</v>
      </c>
      <c r="I417">
        <v>10.199999999999999</v>
      </c>
      <c r="J417">
        <v>8.1999999999999993</v>
      </c>
      <c r="K417">
        <v>9.3000000000000007</v>
      </c>
      <c r="L417">
        <v>30</v>
      </c>
      <c r="M417">
        <v>216</v>
      </c>
      <c r="N417">
        <v>5</v>
      </c>
      <c r="O417">
        <v>6</v>
      </c>
      <c r="P417" t="s">
        <v>806</v>
      </c>
      <c r="Q417">
        <v>9.3000000000000007</v>
      </c>
    </row>
    <row r="418" spans="1:17" x14ac:dyDescent="0.25">
      <c r="A418">
        <v>2025</v>
      </c>
      <c r="B418" t="s">
        <v>800</v>
      </c>
      <c r="C418" t="s">
        <v>807</v>
      </c>
      <c r="D418" t="s">
        <v>79</v>
      </c>
      <c r="E418">
        <v>2.5</v>
      </c>
      <c r="F418">
        <v>4</v>
      </c>
      <c r="G418" t="s">
        <v>687</v>
      </c>
      <c r="H418" t="s">
        <v>105</v>
      </c>
      <c r="I418">
        <v>9.1</v>
      </c>
      <c r="J418">
        <v>7.7</v>
      </c>
      <c r="K418">
        <v>8.5</v>
      </c>
      <c r="L418">
        <v>33</v>
      </c>
      <c r="M418">
        <v>200</v>
      </c>
      <c r="N418">
        <v>6</v>
      </c>
      <c r="O418">
        <v>6</v>
      </c>
      <c r="P418" t="s">
        <v>808</v>
      </c>
      <c r="Q418">
        <v>8.5</v>
      </c>
    </row>
    <row r="419" spans="1:17" x14ac:dyDescent="0.25">
      <c r="A419">
        <v>2025</v>
      </c>
      <c r="B419" t="s">
        <v>800</v>
      </c>
      <c r="C419" t="s">
        <v>809</v>
      </c>
      <c r="D419" t="s">
        <v>79</v>
      </c>
      <c r="E419">
        <v>2.5</v>
      </c>
      <c r="F419">
        <v>4</v>
      </c>
      <c r="G419" t="s">
        <v>687</v>
      </c>
      <c r="H419" t="s">
        <v>105</v>
      </c>
      <c r="I419">
        <v>10.8</v>
      </c>
      <c r="J419">
        <v>8.6999999999999993</v>
      </c>
      <c r="K419">
        <v>9.8000000000000007</v>
      </c>
      <c r="L419">
        <v>29</v>
      </c>
      <c r="M419">
        <v>230</v>
      </c>
      <c r="N419">
        <v>5</v>
      </c>
      <c r="O419">
        <v>4</v>
      </c>
      <c r="P419" t="s">
        <v>810</v>
      </c>
      <c r="Q419">
        <v>9.8000000000000007</v>
      </c>
    </row>
    <row r="420" spans="1:17" x14ac:dyDescent="0.25">
      <c r="A420">
        <v>2025</v>
      </c>
      <c r="B420" t="s">
        <v>800</v>
      </c>
      <c r="C420" t="s">
        <v>811</v>
      </c>
      <c r="D420" t="s">
        <v>79</v>
      </c>
      <c r="E420">
        <v>2.5</v>
      </c>
      <c r="F420">
        <v>4</v>
      </c>
      <c r="G420" t="s">
        <v>687</v>
      </c>
      <c r="H420" t="s">
        <v>105</v>
      </c>
      <c r="I420">
        <v>9.6999999999999993</v>
      </c>
      <c r="J420">
        <v>8</v>
      </c>
      <c r="K420">
        <v>8.9</v>
      </c>
      <c r="L420">
        <v>32</v>
      </c>
      <c r="M420">
        <v>209</v>
      </c>
      <c r="N420">
        <v>5</v>
      </c>
      <c r="O420">
        <v>6</v>
      </c>
      <c r="P420" t="s">
        <v>812</v>
      </c>
      <c r="Q420">
        <v>8.9</v>
      </c>
    </row>
    <row r="421" spans="1:17" x14ac:dyDescent="0.25">
      <c r="A421">
        <v>2025</v>
      </c>
      <c r="B421" t="s">
        <v>800</v>
      </c>
      <c r="C421" t="s">
        <v>813</v>
      </c>
      <c r="D421" t="s">
        <v>79</v>
      </c>
      <c r="E421">
        <v>2.5</v>
      </c>
      <c r="F421">
        <v>4</v>
      </c>
      <c r="G421" t="s">
        <v>687</v>
      </c>
      <c r="H421" t="s">
        <v>105</v>
      </c>
      <c r="I421">
        <v>10.4</v>
      </c>
      <c r="J421">
        <v>8.1999999999999993</v>
      </c>
      <c r="K421">
        <v>9.4</v>
      </c>
      <c r="L421">
        <v>30</v>
      </c>
      <c r="M421">
        <v>221</v>
      </c>
      <c r="N421">
        <v>5</v>
      </c>
      <c r="O421">
        <v>4</v>
      </c>
      <c r="P421" t="s">
        <v>814</v>
      </c>
      <c r="Q421">
        <v>9.4</v>
      </c>
    </row>
    <row r="422" spans="1:17" x14ac:dyDescent="0.25">
      <c r="A422">
        <v>2025</v>
      </c>
      <c r="B422" t="s">
        <v>800</v>
      </c>
      <c r="C422" t="s">
        <v>815</v>
      </c>
      <c r="D422" t="s">
        <v>79</v>
      </c>
      <c r="E422">
        <v>2.5</v>
      </c>
      <c r="F422">
        <v>4</v>
      </c>
      <c r="G422" t="s">
        <v>309</v>
      </c>
      <c r="H422" t="s">
        <v>105</v>
      </c>
      <c r="I422">
        <v>6.1</v>
      </c>
      <c r="J422">
        <v>6.4</v>
      </c>
      <c r="K422">
        <v>6.2</v>
      </c>
      <c r="L422">
        <v>46</v>
      </c>
      <c r="M422">
        <v>145</v>
      </c>
      <c r="N422">
        <v>7</v>
      </c>
      <c r="O422">
        <v>6</v>
      </c>
      <c r="P422" t="s">
        <v>816</v>
      </c>
      <c r="Q422">
        <v>6.2</v>
      </c>
    </row>
    <row r="423" spans="1:17" x14ac:dyDescent="0.25">
      <c r="A423">
        <v>2025</v>
      </c>
      <c r="B423" t="s">
        <v>800</v>
      </c>
      <c r="C423" t="s">
        <v>817</v>
      </c>
      <c r="D423" t="s">
        <v>83</v>
      </c>
      <c r="E423">
        <v>3.3</v>
      </c>
      <c r="F423">
        <v>6</v>
      </c>
      <c r="G423" t="s">
        <v>142</v>
      </c>
      <c r="H423" t="s">
        <v>105</v>
      </c>
      <c r="I423">
        <v>9.9</v>
      </c>
      <c r="J423">
        <v>8.4</v>
      </c>
      <c r="K423">
        <v>9.3000000000000007</v>
      </c>
      <c r="L423">
        <v>30</v>
      </c>
      <c r="M423">
        <v>216</v>
      </c>
      <c r="N423">
        <v>5</v>
      </c>
      <c r="O423">
        <v>5</v>
      </c>
      <c r="P423" t="s">
        <v>818</v>
      </c>
      <c r="Q423">
        <v>9.3000000000000007</v>
      </c>
    </row>
    <row r="424" spans="1:17" x14ac:dyDescent="0.25">
      <c r="A424">
        <v>2025</v>
      </c>
      <c r="B424" t="s">
        <v>800</v>
      </c>
      <c r="C424" t="s">
        <v>819</v>
      </c>
      <c r="D424" t="s">
        <v>83</v>
      </c>
      <c r="E424">
        <v>3.3</v>
      </c>
      <c r="F424">
        <v>6</v>
      </c>
      <c r="G424" t="s">
        <v>142</v>
      </c>
      <c r="H424" t="s">
        <v>73</v>
      </c>
      <c r="I424">
        <v>10.3</v>
      </c>
      <c r="J424">
        <v>8.5</v>
      </c>
      <c r="K424">
        <v>9.5</v>
      </c>
      <c r="L424">
        <v>30</v>
      </c>
      <c r="M424">
        <v>222</v>
      </c>
      <c r="N424">
        <v>5</v>
      </c>
      <c r="O424">
        <v>5</v>
      </c>
      <c r="P424" t="s">
        <v>820</v>
      </c>
      <c r="Q424">
        <v>9.5</v>
      </c>
    </row>
    <row r="425" spans="1:17" x14ac:dyDescent="0.25">
      <c r="A425">
        <v>2025</v>
      </c>
      <c r="B425" t="s">
        <v>800</v>
      </c>
      <c r="C425" t="s">
        <v>821</v>
      </c>
      <c r="D425" t="s">
        <v>83</v>
      </c>
      <c r="E425">
        <v>3.3</v>
      </c>
      <c r="F425">
        <v>6</v>
      </c>
      <c r="G425" t="s">
        <v>142</v>
      </c>
      <c r="H425" t="s">
        <v>105</v>
      </c>
      <c r="I425">
        <v>9.9</v>
      </c>
      <c r="J425">
        <v>8.4</v>
      </c>
      <c r="K425">
        <v>9.3000000000000007</v>
      </c>
      <c r="L425">
        <v>30</v>
      </c>
      <c r="M425">
        <v>216</v>
      </c>
      <c r="N425">
        <v>5</v>
      </c>
      <c r="O425">
        <v>5</v>
      </c>
      <c r="P425" t="s">
        <v>822</v>
      </c>
      <c r="Q425">
        <v>9.3000000000000007</v>
      </c>
    </row>
    <row r="426" spans="1:17" x14ac:dyDescent="0.25">
      <c r="A426">
        <v>2025</v>
      </c>
      <c r="B426" t="s">
        <v>800</v>
      </c>
      <c r="C426" t="s">
        <v>823</v>
      </c>
      <c r="D426" t="s">
        <v>83</v>
      </c>
      <c r="E426">
        <v>3.3</v>
      </c>
      <c r="F426">
        <v>6</v>
      </c>
      <c r="G426" t="s">
        <v>142</v>
      </c>
      <c r="H426" t="s">
        <v>73</v>
      </c>
      <c r="I426">
        <v>10.3</v>
      </c>
      <c r="J426">
        <v>8.5</v>
      </c>
      <c r="K426">
        <v>9.5</v>
      </c>
      <c r="L426">
        <v>30</v>
      </c>
      <c r="M426">
        <v>222</v>
      </c>
      <c r="N426">
        <v>5</v>
      </c>
      <c r="O426">
        <v>5</v>
      </c>
      <c r="P426" t="s">
        <v>824</v>
      </c>
      <c r="Q426">
        <v>9.5</v>
      </c>
    </row>
    <row r="427" spans="1:17" x14ac:dyDescent="0.25">
      <c r="A427">
        <v>2025</v>
      </c>
      <c r="B427" t="s">
        <v>800</v>
      </c>
      <c r="C427" t="s">
        <v>825</v>
      </c>
      <c r="D427" t="s">
        <v>90</v>
      </c>
      <c r="E427">
        <v>2.5</v>
      </c>
      <c r="F427">
        <v>4</v>
      </c>
      <c r="G427" t="s">
        <v>687</v>
      </c>
      <c r="H427" t="s">
        <v>105</v>
      </c>
      <c r="I427">
        <v>8.4</v>
      </c>
      <c r="J427">
        <v>6.3</v>
      </c>
      <c r="K427">
        <v>7.5</v>
      </c>
      <c r="L427">
        <v>38</v>
      </c>
      <c r="M427">
        <v>175</v>
      </c>
      <c r="N427">
        <v>6</v>
      </c>
      <c r="O427">
        <v>6</v>
      </c>
      <c r="P427" t="s">
        <v>826</v>
      </c>
      <c r="Q427">
        <v>7.5</v>
      </c>
    </row>
    <row r="428" spans="1:17" x14ac:dyDescent="0.25">
      <c r="A428">
        <v>2025</v>
      </c>
      <c r="B428" t="s">
        <v>800</v>
      </c>
      <c r="C428" t="s">
        <v>827</v>
      </c>
      <c r="D428" t="s">
        <v>90</v>
      </c>
      <c r="E428">
        <v>2.5</v>
      </c>
      <c r="F428">
        <v>4</v>
      </c>
      <c r="G428" t="s">
        <v>687</v>
      </c>
      <c r="H428" t="s">
        <v>105</v>
      </c>
      <c r="I428">
        <v>8.9</v>
      </c>
      <c r="J428">
        <v>6.6</v>
      </c>
      <c r="K428">
        <v>7.9</v>
      </c>
      <c r="L428">
        <v>36</v>
      </c>
      <c r="M428">
        <v>185</v>
      </c>
      <c r="N428">
        <v>6</v>
      </c>
      <c r="O428">
        <v>6</v>
      </c>
      <c r="P428" t="s">
        <v>828</v>
      </c>
      <c r="Q428">
        <v>7.9</v>
      </c>
    </row>
    <row r="429" spans="1:17" x14ac:dyDescent="0.25">
      <c r="A429">
        <v>2025</v>
      </c>
      <c r="B429" t="s">
        <v>800</v>
      </c>
      <c r="C429" t="s">
        <v>829</v>
      </c>
      <c r="D429" t="s">
        <v>90</v>
      </c>
      <c r="E429">
        <v>2.5</v>
      </c>
      <c r="F429">
        <v>4</v>
      </c>
      <c r="G429" t="s">
        <v>687</v>
      </c>
      <c r="H429" t="s">
        <v>105</v>
      </c>
      <c r="I429">
        <v>10.1</v>
      </c>
      <c r="J429">
        <v>7.3</v>
      </c>
      <c r="K429">
        <v>8.8000000000000007</v>
      </c>
      <c r="L429">
        <v>32</v>
      </c>
      <c r="M429">
        <v>207</v>
      </c>
      <c r="N429">
        <v>5</v>
      </c>
      <c r="O429">
        <v>4</v>
      </c>
      <c r="P429" t="s">
        <v>830</v>
      </c>
      <c r="Q429">
        <v>8.8000000000000007</v>
      </c>
    </row>
    <row r="430" spans="1:17" x14ac:dyDescent="0.25">
      <c r="A430">
        <v>2025</v>
      </c>
      <c r="B430" t="s">
        <v>800</v>
      </c>
      <c r="C430" t="s">
        <v>831</v>
      </c>
      <c r="D430" t="s">
        <v>96</v>
      </c>
      <c r="E430">
        <v>2.5</v>
      </c>
      <c r="F430">
        <v>4</v>
      </c>
      <c r="G430" t="s">
        <v>687</v>
      </c>
      <c r="H430" t="s">
        <v>105</v>
      </c>
      <c r="I430">
        <v>8.5</v>
      </c>
      <c r="J430">
        <v>6.5</v>
      </c>
      <c r="K430">
        <v>7.6</v>
      </c>
      <c r="L430">
        <v>37</v>
      </c>
      <c r="M430">
        <v>178</v>
      </c>
      <c r="N430">
        <v>6</v>
      </c>
      <c r="O430">
        <v>6</v>
      </c>
      <c r="P430" t="s">
        <v>832</v>
      </c>
      <c r="Q430">
        <v>7.6</v>
      </c>
    </row>
    <row r="431" spans="1:17" x14ac:dyDescent="0.25">
      <c r="A431">
        <v>2025</v>
      </c>
      <c r="B431" t="s">
        <v>800</v>
      </c>
      <c r="C431" t="s">
        <v>833</v>
      </c>
      <c r="D431" t="s">
        <v>96</v>
      </c>
      <c r="E431">
        <v>2.5</v>
      </c>
      <c r="F431">
        <v>4</v>
      </c>
      <c r="G431" t="s">
        <v>75</v>
      </c>
      <c r="H431" t="s">
        <v>105</v>
      </c>
      <c r="I431">
        <v>9</v>
      </c>
      <c r="J431">
        <v>6.4</v>
      </c>
      <c r="K431">
        <v>7.8</v>
      </c>
      <c r="L431">
        <v>36</v>
      </c>
      <c r="M431">
        <v>184</v>
      </c>
      <c r="N431">
        <v>6</v>
      </c>
      <c r="O431">
        <v>6</v>
      </c>
      <c r="P431" t="s">
        <v>834</v>
      </c>
      <c r="Q431">
        <v>7.8</v>
      </c>
    </row>
    <row r="432" spans="1:17" x14ac:dyDescent="0.25">
      <c r="A432">
        <v>2025</v>
      </c>
      <c r="B432" t="s">
        <v>800</v>
      </c>
      <c r="C432" t="s">
        <v>835</v>
      </c>
      <c r="D432" t="s">
        <v>96</v>
      </c>
      <c r="E432">
        <v>2.5</v>
      </c>
      <c r="F432">
        <v>4</v>
      </c>
      <c r="G432" t="s">
        <v>687</v>
      </c>
      <c r="H432" t="s">
        <v>105</v>
      </c>
      <c r="I432">
        <v>9</v>
      </c>
      <c r="J432">
        <v>7.1</v>
      </c>
      <c r="K432">
        <v>8.1</v>
      </c>
      <c r="L432">
        <v>35</v>
      </c>
      <c r="M432">
        <v>191</v>
      </c>
      <c r="N432">
        <v>6</v>
      </c>
      <c r="O432">
        <v>6</v>
      </c>
      <c r="P432" t="s">
        <v>836</v>
      </c>
      <c r="Q432">
        <v>8.1</v>
      </c>
    </row>
    <row r="433" spans="1:17" x14ac:dyDescent="0.25">
      <c r="A433">
        <v>2025</v>
      </c>
      <c r="B433" t="s">
        <v>800</v>
      </c>
      <c r="C433" t="s">
        <v>837</v>
      </c>
      <c r="D433" t="s">
        <v>96</v>
      </c>
      <c r="E433">
        <v>2.5</v>
      </c>
      <c r="F433">
        <v>4</v>
      </c>
      <c r="G433" t="s">
        <v>687</v>
      </c>
      <c r="H433" t="s">
        <v>105</v>
      </c>
      <c r="I433">
        <v>10.1</v>
      </c>
      <c r="J433">
        <v>7.5</v>
      </c>
      <c r="K433">
        <v>8.9</v>
      </c>
      <c r="L433">
        <v>32</v>
      </c>
      <c r="M433">
        <v>209</v>
      </c>
      <c r="N433">
        <v>5</v>
      </c>
      <c r="O433">
        <v>4</v>
      </c>
      <c r="P433" t="s">
        <v>838</v>
      </c>
      <c r="Q433">
        <v>8.9</v>
      </c>
    </row>
    <row r="434" spans="1:17" x14ac:dyDescent="0.25">
      <c r="A434">
        <v>2025</v>
      </c>
      <c r="B434" t="s">
        <v>800</v>
      </c>
      <c r="C434" t="s">
        <v>839</v>
      </c>
      <c r="D434" t="s">
        <v>114</v>
      </c>
      <c r="E434">
        <v>2</v>
      </c>
      <c r="F434">
        <v>4</v>
      </c>
      <c r="G434" t="s">
        <v>687</v>
      </c>
      <c r="H434" t="s">
        <v>73</v>
      </c>
      <c r="I434">
        <v>9</v>
      </c>
      <c r="J434">
        <v>6.7</v>
      </c>
      <c r="K434">
        <v>8</v>
      </c>
      <c r="L434">
        <v>35</v>
      </c>
      <c r="M434">
        <v>187</v>
      </c>
      <c r="N434">
        <v>6</v>
      </c>
      <c r="O434">
        <v>2</v>
      </c>
      <c r="P434" t="s">
        <v>840</v>
      </c>
      <c r="Q434">
        <v>8</v>
      </c>
    </row>
    <row r="435" spans="1:17" x14ac:dyDescent="0.25">
      <c r="A435">
        <v>2025</v>
      </c>
      <c r="B435" t="s">
        <v>800</v>
      </c>
      <c r="C435" t="s">
        <v>841</v>
      </c>
      <c r="D435" t="s">
        <v>114</v>
      </c>
      <c r="E435">
        <v>2</v>
      </c>
      <c r="F435">
        <v>4</v>
      </c>
      <c r="G435" t="s">
        <v>75</v>
      </c>
      <c r="H435" t="s">
        <v>73</v>
      </c>
      <c r="I435">
        <v>9</v>
      </c>
      <c r="J435">
        <v>7</v>
      </c>
      <c r="K435">
        <v>8.1</v>
      </c>
      <c r="L435">
        <v>35</v>
      </c>
      <c r="M435">
        <v>189</v>
      </c>
      <c r="N435">
        <v>6</v>
      </c>
      <c r="O435">
        <v>2</v>
      </c>
      <c r="P435" t="s">
        <v>842</v>
      </c>
      <c r="Q435">
        <v>8.1</v>
      </c>
    </row>
    <row r="436" spans="1:17" x14ac:dyDescent="0.25">
      <c r="A436">
        <v>2025</v>
      </c>
      <c r="B436" t="s">
        <v>843</v>
      </c>
      <c r="C436" t="s">
        <v>844</v>
      </c>
      <c r="D436" t="s">
        <v>90</v>
      </c>
      <c r="E436">
        <v>2</v>
      </c>
      <c r="F436">
        <v>4</v>
      </c>
      <c r="G436" t="s">
        <v>104</v>
      </c>
      <c r="H436" t="s">
        <v>73</v>
      </c>
      <c r="I436">
        <v>12.5</v>
      </c>
      <c r="J436">
        <v>8.8000000000000007</v>
      </c>
      <c r="K436">
        <v>10.8</v>
      </c>
      <c r="L436">
        <v>26</v>
      </c>
      <c r="M436">
        <v>252</v>
      </c>
      <c r="N436">
        <v>5</v>
      </c>
      <c r="O436">
        <v>4</v>
      </c>
      <c r="P436" t="s">
        <v>845</v>
      </c>
      <c r="Q436">
        <v>10.8</v>
      </c>
    </row>
    <row r="437" spans="1:17" x14ac:dyDescent="0.25">
      <c r="A437">
        <v>2025</v>
      </c>
      <c r="B437" t="s">
        <v>843</v>
      </c>
      <c r="C437" t="s">
        <v>846</v>
      </c>
      <c r="D437" t="s">
        <v>90</v>
      </c>
      <c r="E437">
        <v>2</v>
      </c>
      <c r="F437">
        <v>4</v>
      </c>
      <c r="G437" t="s">
        <v>426</v>
      </c>
      <c r="H437" t="s">
        <v>73</v>
      </c>
      <c r="I437">
        <v>10.8</v>
      </c>
      <c r="J437">
        <v>8</v>
      </c>
      <c r="K437">
        <v>9.6</v>
      </c>
      <c r="L437">
        <v>29</v>
      </c>
      <c r="M437">
        <v>225</v>
      </c>
      <c r="N437">
        <v>5</v>
      </c>
      <c r="O437">
        <v>5</v>
      </c>
      <c r="P437" t="s">
        <v>847</v>
      </c>
      <c r="Q437">
        <v>9.6</v>
      </c>
    </row>
    <row r="438" spans="1:17" x14ac:dyDescent="0.25">
      <c r="A438">
        <v>2025</v>
      </c>
      <c r="B438" t="s">
        <v>843</v>
      </c>
      <c r="C438" t="s">
        <v>848</v>
      </c>
      <c r="D438" t="s">
        <v>90</v>
      </c>
      <c r="E438">
        <v>2</v>
      </c>
      <c r="F438">
        <v>4</v>
      </c>
      <c r="G438" t="s">
        <v>426</v>
      </c>
      <c r="H438" t="s">
        <v>73</v>
      </c>
      <c r="I438">
        <v>11.7</v>
      </c>
      <c r="J438">
        <v>8.4</v>
      </c>
      <c r="K438">
        <v>10.199999999999999</v>
      </c>
      <c r="L438">
        <v>28</v>
      </c>
      <c r="M438">
        <v>236</v>
      </c>
      <c r="N438">
        <v>5</v>
      </c>
      <c r="O438">
        <v>2</v>
      </c>
      <c r="P438" t="s">
        <v>849</v>
      </c>
      <c r="Q438">
        <v>10.199999999999999</v>
      </c>
    </row>
    <row r="439" spans="1:17" x14ac:dyDescent="0.25">
      <c r="A439">
        <v>2025</v>
      </c>
      <c r="B439" t="s">
        <v>843</v>
      </c>
      <c r="C439" t="s">
        <v>850</v>
      </c>
      <c r="D439" t="s">
        <v>118</v>
      </c>
      <c r="E439">
        <v>3</v>
      </c>
      <c r="F439">
        <v>6</v>
      </c>
      <c r="G439" t="s">
        <v>104</v>
      </c>
      <c r="H439" t="s">
        <v>73</v>
      </c>
      <c r="I439">
        <v>12.1</v>
      </c>
      <c r="J439">
        <v>9.1999999999999993</v>
      </c>
      <c r="K439">
        <v>10.8</v>
      </c>
      <c r="L439">
        <v>26</v>
      </c>
      <c r="M439">
        <v>253</v>
      </c>
      <c r="N439">
        <v>5</v>
      </c>
      <c r="O439">
        <v>6</v>
      </c>
      <c r="P439" t="s">
        <v>851</v>
      </c>
      <c r="Q439">
        <v>10.8</v>
      </c>
    </row>
    <row r="440" spans="1:17" x14ac:dyDescent="0.25">
      <c r="A440">
        <v>2025</v>
      </c>
      <c r="B440" t="s">
        <v>843</v>
      </c>
      <c r="C440" t="s">
        <v>852</v>
      </c>
      <c r="D440" t="s">
        <v>118</v>
      </c>
      <c r="E440">
        <v>3</v>
      </c>
      <c r="F440">
        <v>6</v>
      </c>
      <c r="G440" t="s">
        <v>104</v>
      </c>
      <c r="H440" t="s">
        <v>73</v>
      </c>
      <c r="I440">
        <v>11.7</v>
      </c>
      <c r="J440">
        <v>8.6999999999999993</v>
      </c>
      <c r="K440">
        <v>10.4</v>
      </c>
      <c r="L440">
        <v>27</v>
      </c>
      <c r="M440">
        <v>243</v>
      </c>
      <c r="N440">
        <v>5</v>
      </c>
      <c r="O440">
        <v>6</v>
      </c>
      <c r="P440" t="s">
        <v>853</v>
      </c>
      <c r="Q440">
        <v>10.4</v>
      </c>
    </row>
    <row r="441" spans="1:17" x14ac:dyDescent="0.25">
      <c r="A441">
        <v>2025</v>
      </c>
      <c r="B441" t="s">
        <v>843</v>
      </c>
      <c r="C441" t="s">
        <v>854</v>
      </c>
      <c r="D441" t="s">
        <v>83</v>
      </c>
      <c r="E441">
        <v>4</v>
      </c>
      <c r="F441">
        <v>8</v>
      </c>
      <c r="G441" t="s">
        <v>104</v>
      </c>
      <c r="H441" t="s">
        <v>73</v>
      </c>
      <c r="I441">
        <v>17.399999999999999</v>
      </c>
      <c r="J441">
        <v>14.7</v>
      </c>
      <c r="K441">
        <v>16.2</v>
      </c>
      <c r="L441">
        <v>17</v>
      </c>
      <c r="M441">
        <v>378</v>
      </c>
      <c r="N441">
        <v>2</v>
      </c>
      <c r="O441">
        <v>4</v>
      </c>
      <c r="P441" t="s">
        <v>855</v>
      </c>
      <c r="Q441">
        <v>16.2</v>
      </c>
    </row>
    <row r="442" spans="1:17" x14ac:dyDescent="0.25">
      <c r="A442">
        <v>2025</v>
      </c>
      <c r="B442" t="s">
        <v>843</v>
      </c>
      <c r="C442" t="s">
        <v>856</v>
      </c>
      <c r="D442" t="s">
        <v>124</v>
      </c>
      <c r="E442">
        <v>2</v>
      </c>
      <c r="F442">
        <v>4</v>
      </c>
      <c r="G442" t="s">
        <v>426</v>
      </c>
      <c r="H442" t="s">
        <v>73</v>
      </c>
      <c r="I442">
        <v>10.9</v>
      </c>
      <c r="J442">
        <v>8.4</v>
      </c>
      <c r="K442">
        <v>9.8000000000000007</v>
      </c>
      <c r="L442">
        <v>29</v>
      </c>
      <c r="M442">
        <v>230</v>
      </c>
      <c r="N442">
        <v>5</v>
      </c>
      <c r="O442">
        <v>5</v>
      </c>
      <c r="P442" t="s">
        <v>857</v>
      </c>
      <c r="Q442">
        <v>9.8000000000000007</v>
      </c>
    </row>
    <row r="443" spans="1:17" x14ac:dyDescent="0.25">
      <c r="A443">
        <v>2025</v>
      </c>
      <c r="B443" t="s">
        <v>843</v>
      </c>
      <c r="C443" t="s">
        <v>858</v>
      </c>
      <c r="D443" t="s">
        <v>124</v>
      </c>
      <c r="E443">
        <v>2</v>
      </c>
      <c r="F443">
        <v>4</v>
      </c>
      <c r="G443" t="s">
        <v>426</v>
      </c>
      <c r="H443" t="s">
        <v>73</v>
      </c>
      <c r="I443">
        <v>11.5</v>
      </c>
      <c r="J443">
        <v>8.9</v>
      </c>
      <c r="K443">
        <v>10.3</v>
      </c>
      <c r="L443">
        <v>27</v>
      </c>
      <c r="M443">
        <v>242</v>
      </c>
      <c r="N443">
        <v>5</v>
      </c>
      <c r="O443">
        <v>5</v>
      </c>
      <c r="P443" t="s">
        <v>859</v>
      </c>
      <c r="Q443">
        <v>10.3</v>
      </c>
    </row>
    <row r="444" spans="1:17" x14ac:dyDescent="0.25">
      <c r="A444">
        <v>2025</v>
      </c>
      <c r="B444" t="s">
        <v>843</v>
      </c>
      <c r="C444" t="s">
        <v>860</v>
      </c>
      <c r="D444" t="s">
        <v>124</v>
      </c>
      <c r="E444">
        <v>2</v>
      </c>
      <c r="F444">
        <v>4</v>
      </c>
      <c r="G444" t="s">
        <v>104</v>
      </c>
      <c r="H444" t="s">
        <v>73</v>
      </c>
      <c r="I444">
        <v>12.6</v>
      </c>
      <c r="J444">
        <v>9.4</v>
      </c>
      <c r="K444">
        <v>11.2</v>
      </c>
      <c r="L444">
        <v>25</v>
      </c>
      <c r="M444">
        <v>263</v>
      </c>
      <c r="N444">
        <v>4</v>
      </c>
      <c r="O444">
        <v>4</v>
      </c>
      <c r="P444" t="s">
        <v>861</v>
      </c>
      <c r="Q444">
        <v>11.2</v>
      </c>
    </row>
    <row r="445" spans="1:17" x14ac:dyDescent="0.25">
      <c r="A445">
        <v>2025</v>
      </c>
      <c r="B445" t="s">
        <v>843</v>
      </c>
      <c r="C445" t="s">
        <v>862</v>
      </c>
      <c r="D445" t="s">
        <v>124</v>
      </c>
      <c r="E445">
        <v>2</v>
      </c>
      <c r="F445">
        <v>4</v>
      </c>
      <c r="G445" t="s">
        <v>104</v>
      </c>
      <c r="H445" t="s">
        <v>73</v>
      </c>
      <c r="I445">
        <v>12.7</v>
      </c>
      <c r="J445">
        <v>9.8000000000000007</v>
      </c>
      <c r="K445">
        <v>11.4</v>
      </c>
      <c r="L445">
        <v>25</v>
      </c>
      <c r="M445">
        <v>269</v>
      </c>
      <c r="N445">
        <v>4</v>
      </c>
      <c r="O445">
        <v>4</v>
      </c>
      <c r="P445" t="s">
        <v>863</v>
      </c>
      <c r="Q445">
        <v>11.4</v>
      </c>
    </row>
    <row r="446" spans="1:17" x14ac:dyDescent="0.25">
      <c r="A446">
        <v>2025</v>
      </c>
      <c r="B446" t="s">
        <v>843</v>
      </c>
      <c r="C446" t="s">
        <v>864</v>
      </c>
      <c r="D446" t="s">
        <v>83</v>
      </c>
      <c r="E446">
        <v>3</v>
      </c>
      <c r="F446">
        <v>6</v>
      </c>
      <c r="G446" t="s">
        <v>104</v>
      </c>
      <c r="H446" t="s">
        <v>73</v>
      </c>
      <c r="I446">
        <v>12.9</v>
      </c>
      <c r="J446">
        <v>10.199999999999999</v>
      </c>
      <c r="K446">
        <v>11.7</v>
      </c>
      <c r="L446">
        <v>24</v>
      </c>
      <c r="M446">
        <v>273</v>
      </c>
      <c r="N446">
        <v>4</v>
      </c>
      <c r="O446">
        <v>6</v>
      </c>
      <c r="P446" t="s">
        <v>865</v>
      </c>
      <c r="Q446">
        <v>11.7</v>
      </c>
    </row>
    <row r="447" spans="1:17" x14ac:dyDescent="0.25">
      <c r="A447">
        <v>2025</v>
      </c>
      <c r="B447" t="s">
        <v>843</v>
      </c>
      <c r="C447" t="s">
        <v>866</v>
      </c>
      <c r="D447" t="s">
        <v>83</v>
      </c>
      <c r="E447">
        <v>3</v>
      </c>
      <c r="F447">
        <v>6</v>
      </c>
      <c r="G447" t="s">
        <v>104</v>
      </c>
      <c r="H447" t="s">
        <v>73</v>
      </c>
      <c r="I447">
        <v>13.2</v>
      </c>
      <c r="J447">
        <v>10.7</v>
      </c>
      <c r="K447">
        <v>12.1</v>
      </c>
      <c r="L447">
        <v>23</v>
      </c>
      <c r="M447">
        <v>282</v>
      </c>
      <c r="N447">
        <v>4</v>
      </c>
      <c r="O447">
        <v>6</v>
      </c>
      <c r="P447" t="s">
        <v>867</v>
      </c>
      <c r="Q447">
        <v>12.1</v>
      </c>
    </row>
    <row r="448" spans="1:17" x14ac:dyDescent="0.25">
      <c r="A448">
        <v>2025</v>
      </c>
      <c r="B448" t="s">
        <v>843</v>
      </c>
      <c r="C448" t="s">
        <v>868</v>
      </c>
      <c r="D448" t="s">
        <v>83</v>
      </c>
      <c r="E448">
        <v>4</v>
      </c>
      <c r="F448">
        <v>8</v>
      </c>
      <c r="G448" t="s">
        <v>104</v>
      </c>
      <c r="H448" t="s">
        <v>73</v>
      </c>
      <c r="I448">
        <v>17.2</v>
      </c>
      <c r="J448">
        <v>12.8</v>
      </c>
      <c r="K448">
        <v>15.2</v>
      </c>
      <c r="L448">
        <v>19</v>
      </c>
      <c r="M448">
        <v>355</v>
      </c>
      <c r="N448">
        <v>3</v>
      </c>
      <c r="O448">
        <v>4</v>
      </c>
      <c r="P448" t="s">
        <v>869</v>
      </c>
      <c r="Q448">
        <v>15.2</v>
      </c>
    </row>
    <row r="449" spans="1:17" x14ac:dyDescent="0.25">
      <c r="A449">
        <v>2025</v>
      </c>
      <c r="B449" t="s">
        <v>843</v>
      </c>
      <c r="C449" t="s">
        <v>870</v>
      </c>
      <c r="D449" t="s">
        <v>83</v>
      </c>
      <c r="E449">
        <v>4</v>
      </c>
      <c r="F449">
        <v>8</v>
      </c>
      <c r="G449" t="s">
        <v>104</v>
      </c>
      <c r="H449" t="s">
        <v>73</v>
      </c>
      <c r="I449">
        <v>17.2</v>
      </c>
      <c r="J449">
        <v>12.8</v>
      </c>
      <c r="K449">
        <v>15.2</v>
      </c>
      <c r="L449">
        <v>19</v>
      </c>
      <c r="M449">
        <v>355</v>
      </c>
      <c r="N449">
        <v>3</v>
      </c>
      <c r="O449">
        <v>4</v>
      </c>
      <c r="P449" t="s">
        <v>871</v>
      </c>
      <c r="Q449">
        <v>15.2</v>
      </c>
    </row>
    <row r="450" spans="1:17" x14ac:dyDescent="0.25">
      <c r="A450">
        <v>2025</v>
      </c>
      <c r="B450" t="s">
        <v>843</v>
      </c>
      <c r="C450" t="s">
        <v>872</v>
      </c>
      <c r="D450" t="s">
        <v>83</v>
      </c>
      <c r="E450">
        <v>4</v>
      </c>
      <c r="F450">
        <v>8</v>
      </c>
      <c r="G450" t="s">
        <v>104</v>
      </c>
      <c r="H450" t="s">
        <v>73</v>
      </c>
      <c r="I450">
        <v>17.2</v>
      </c>
      <c r="J450">
        <v>13.1</v>
      </c>
      <c r="K450">
        <v>15.3</v>
      </c>
      <c r="L450">
        <v>18</v>
      </c>
      <c r="M450">
        <v>359</v>
      </c>
      <c r="N450">
        <v>2</v>
      </c>
      <c r="O450">
        <v>4</v>
      </c>
      <c r="P450" t="s">
        <v>873</v>
      </c>
      <c r="Q450">
        <v>15.3</v>
      </c>
    </row>
    <row r="451" spans="1:17" x14ac:dyDescent="0.25">
      <c r="A451">
        <v>2025</v>
      </c>
      <c r="B451" t="s">
        <v>843</v>
      </c>
      <c r="C451" t="s">
        <v>874</v>
      </c>
      <c r="D451" t="s">
        <v>90</v>
      </c>
      <c r="E451">
        <v>3</v>
      </c>
      <c r="F451">
        <v>6</v>
      </c>
      <c r="G451" t="s">
        <v>104</v>
      </c>
      <c r="H451" t="s">
        <v>73</v>
      </c>
      <c r="I451">
        <v>12.3</v>
      </c>
      <c r="J451">
        <v>10</v>
      </c>
      <c r="K451">
        <v>11.3</v>
      </c>
      <c r="L451">
        <v>25</v>
      </c>
      <c r="M451">
        <v>263</v>
      </c>
      <c r="N451">
        <v>4</v>
      </c>
      <c r="O451">
        <v>5</v>
      </c>
      <c r="P451" t="s">
        <v>875</v>
      </c>
      <c r="Q451">
        <v>11.3</v>
      </c>
    </row>
    <row r="452" spans="1:17" x14ac:dyDescent="0.25">
      <c r="A452">
        <v>2025</v>
      </c>
      <c r="B452" t="s">
        <v>843</v>
      </c>
      <c r="C452" t="s">
        <v>876</v>
      </c>
      <c r="D452" t="s">
        <v>118</v>
      </c>
      <c r="E452">
        <v>4</v>
      </c>
      <c r="F452">
        <v>8</v>
      </c>
      <c r="G452" t="s">
        <v>104</v>
      </c>
      <c r="H452" t="s">
        <v>73</v>
      </c>
      <c r="I452">
        <v>19.7</v>
      </c>
      <c r="J452">
        <v>12.6</v>
      </c>
      <c r="K452">
        <v>16.5</v>
      </c>
      <c r="L452">
        <v>17</v>
      </c>
      <c r="M452">
        <v>387</v>
      </c>
      <c r="N452">
        <v>2</v>
      </c>
      <c r="O452">
        <v>4</v>
      </c>
      <c r="P452" t="s">
        <v>877</v>
      </c>
      <c r="Q452">
        <v>16.5</v>
      </c>
    </row>
    <row r="453" spans="1:17" x14ac:dyDescent="0.25">
      <c r="A453">
        <v>2025</v>
      </c>
      <c r="B453" t="s">
        <v>843</v>
      </c>
      <c r="C453" t="s">
        <v>878</v>
      </c>
      <c r="D453" t="s">
        <v>90</v>
      </c>
      <c r="E453">
        <v>4</v>
      </c>
      <c r="F453">
        <v>8</v>
      </c>
      <c r="G453" t="s">
        <v>104</v>
      </c>
      <c r="H453" t="s">
        <v>73</v>
      </c>
      <c r="I453">
        <v>15.3</v>
      </c>
      <c r="J453">
        <v>11.3</v>
      </c>
      <c r="K453">
        <v>13.5</v>
      </c>
      <c r="L453">
        <v>21</v>
      </c>
      <c r="M453">
        <v>318</v>
      </c>
      <c r="N453">
        <v>3</v>
      </c>
      <c r="O453">
        <v>4</v>
      </c>
      <c r="P453" t="s">
        <v>879</v>
      </c>
      <c r="Q453">
        <v>13.5</v>
      </c>
    </row>
    <row r="454" spans="1:17" x14ac:dyDescent="0.25">
      <c r="A454">
        <v>2025</v>
      </c>
      <c r="B454" t="s">
        <v>843</v>
      </c>
      <c r="C454" t="s">
        <v>880</v>
      </c>
      <c r="D454" t="s">
        <v>118</v>
      </c>
      <c r="E454">
        <v>4</v>
      </c>
      <c r="F454">
        <v>8</v>
      </c>
      <c r="G454" t="s">
        <v>104</v>
      </c>
      <c r="H454" t="s">
        <v>73</v>
      </c>
      <c r="I454">
        <v>19.7</v>
      </c>
      <c r="J454">
        <v>12.6</v>
      </c>
      <c r="K454">
        <v>16.5</v>
      </c>
      <c r="L454">
        <v>17</v>
      </c>
      <c r="M454">
        <v>387</v>
      </c>
      <c r="N454">
        <v>2</v>
      </c>
      <c r="O454">
        <v>4</v>
      </c>
      <c r="P454" t="s">
        <v>881</v>
      </c>
      <c r="Q454">
        <v>16.5</v>
      </c>
    </row>
    <row r="455" spans="1:17" x14ac:dyDescent="0.25">
      <c r="A455">
        <v>2025</v>
      </c>
      <c r="B455" t="s">
        <v>843</v>
      </c>
      <c r="C455" t="s">
        <v>882</v>
      </c>
      <c r="D455" t="s">
        <v>118</v>
      </c>
      <c r="E455">
        <v>4</v>
      </c>
      <c r="F455">
        <v>8</v>
      </c>
      <c r="G455" t="s">
        <v>104</v>
      </c>
      <c r="H455" t="s">
        <v>73</v>
      </c>
      <c r="I455">
        <v>19.7</v>
      </c>
      <c r="J455">
        <v>12.6</v>
      </c>
      <c r="K455">
        <v>16.5</v>
      </c>
      <c r="L455">
        <v>17</v>
      </c>
      <c r="M455">
        <v>387</v>
      </c>
      <c r="N455">
        <v>2</v>
      </c>
      <c r="O455">
        <v>4</v>
      </c>
      <c r="P455" t="s">
        <v>883</v>
      </c>
      <c r="Q455">
        <v>16.5</v>
      </c>
    </row>
    <row r="456" spans="1:17" x14ac:dyDescent="0.25">
      <c r="A456">
        <v>2025</v>
      </c>
      <c r="B456" t="s">
        <v>843</v>
      </c>
      <c r="C456" t="s">
        <v>884</v>
      </c>
      <c r="D456" t="s">
        <v>109</v>
      </c>
      <c r="E456">
        <v>2</v>
      </c>
      <c r="F456">
        <v>4</v>
      </c>
      <c r="G456" t="s">
        <v>104</v>
      </c>
      <c r="H456" t="s">
        <v>73</v>
      </c>
      <c r="I456">
        <v>12.2</v>
      </c>
      <c r="J456">
        <v>8.8000000000000007</v>
      </c>
      <c r="K456">
        <v>10.7</v>
      </c>
      <c r="L456">
        <v>26</v>
      </c>
      <c r="M456">
        <v>249</v>
      </c>
      <c r="N456">
        <v>5</v>
      </c>
      <c r="O456">
        <v>4</v>
      </c>
      <c r="P456" t="s">
        <v>885</v>
      </c>
      <c r="Q456">
        <v>10.7</v>
      </c>
    </row>
    <row r="457" spans="1:17" x14ac:dyDescent="0.25">
      <c r="A457">
        <v>2025</v>
      </c>
      <c r="B457" t="s">
        <v>843</v>
      </c>
      <c r="C457" t="s">
        <v>886</v>
      </c>
      <c r="D457" t="s">
        <v>109</v>
      </c>
      <c r="E457">
        <v>4</v>
      </c>
      <c r="F457">
        <v>8</v>
      </c>
      <c r="G457" t="s">
        <v>104</v>
      </c>
      <c r="H457" t="s">
        <v>73</v>
      </c>
      <c r="I457">
        <v>18.2</v>
      </c>
      <c r="J457">
        <v>11.3</v>
      </c>
      <c r="K457">
        <v>15.1</v>
      </c>
      <c r="L457">
        <v>19</v>
      </c>
      <c r="M457">
        <v>347</v>
      </c>
      <c r="N457">
        <v>3</v>
      </c>
      <c r="O457">
        <v>4</v>
      </c>
      <c r="P457" t="s">
        <v>887</v>
      </c>
      <c r="Q457">
        <v>15.1</v>
      </c>
    </row>
    <row r="458" spans="1:17" x14ac:dyDescent="0.25">
      <c r="A458">
        <v>2025</v>
      </c>
      <c r="B458" t="s">
        <v>843</v>
      </c>
      <c r="C458" t="s">
        <v>888</v>
      </c>
      <c r="D458" t="s">
        <v>109</v>
      </c>
      <c r="E458">
        <v>4</v>
      </c>
      <c r="F458">
        <v>8</v>
      </c>
      <c r="G458" t="s">
        <v>104</v>
      </c>
      <c r="H458" t="s">
        <v>73</v>
      </c>
      <c r="I458">
        <v>18.2</v>
      </c>
      <c r="J458">
        <v>11.3</v>
      </c>
      <c r="K458">
        <v>15.1</v>
      </c>
      <c r="L458">
        <v>19</v>
      </c>
      <c r="M458">
        <v>347</v>
      </c>
      <c r="N458">
        <v>3</v>
      </c>
      <c r="O458">
        <v>4</v>
      </c>
      <c r="P458" t="s">
        <v>889</v>
      </c>
      <c r="Q458">
        <v>15.1</v>
      </c>
    </row>
    <row r="459" spans="1:17" x14ac:dyDescent="0.25">
      <c r="A459">
        <v>2025</v>
      </c>
      <c r="B459" t="s">
        <v>843</v>
      </c>
      <c r="C459" t="s">
        <v>890</v>
      </c>
      <c r="D459" t="s">
        <v>90</v>
      </c>
      <c r="E459">
        <v>2</v>
      </c>
      <c r="F459">
        <v>4</v>
      </c>
      <c r="G459" t="s">
        <v>104</v>
      </c>
      <c r="H459" t="s">
        <v>73</v>
      </c>
      <c r="I459">
        <v>10</v>
      </c>
      <c r="J459">
        <v>7.1</v>
      </c>
      <c r="K459">
        <v>8.6999999999999993</v>
      </c>
      <c r="L459">
        <v>32</v>
      </c>
      <c r="M459">
        <v>204</v>
      </c>
      <c r="N459">
        <v>5</v>
      </c>
      <c r="O459">
        <v>7</v>
      </c>
      <c r="P459" t="s">
        <v>891</v>
      </c>
      <c r="Q459">
        <v>8.6999999999999993</v>
      </c>
    </row>
    <row r="460" spans="1:17" x14ac:dyDescent="0.25">
      <c r="A460">
        <v>2025</v>
      </c>
      <c r="B460" t="s">
        <v>843</v>
      </c>
      <c r="C460" t="s">
        <v>892</v>
      </c>
      <c r="D460" t="s">
        <v>90</v>
      </c>
      <c r="E460">
        <v>2</v>
      </c>
      <c r="F460">
        <v>4</v>
      </c>
      <c r="G460" t="s">
        <v>426</v>
      </c>
      <c r="H460" t="s">
        <v>73</v>
      </c>
      <c r="I460">
        <v>9.3000000000000007</v>
      </c>
      <c r="J460">
        <v>6.9</v>
      </c>
      <c r="K460">
        <v>8.1999999999999993</v>
      </c>
      <c r="L460">
        <v>34</v>
      </c>
      <c r="M460">
        <v>193</v>
      </c>
      <c r="N460">
        <v>6</v>
      </c>
      <c r="O460">
        <v>6</v>
      </c>
      <c r="P460" t="s">
        <v>893</v>
      </c>
      <c r="Q460">
        <v>8.1999999999999993</v>
      </c>
    </row>
    <row r="461" spans="1:17" x14ac:dyDescent="0.25">
      <c r="A461">
        <v>2025</v>
      </c>
      <c r="B461" t="s">
        <v>843</v>
      </c>
      <c r="C461" t="s">
        <v>894</v>
      </c>
      <c r="D461" t="s">
        <v>118</v>
      </c>
      <c r="E461">
        <v>2</v>
      </c>
      <c r="F461">
        <v>4</v>
      </c>
      <c r="G461" t="s">
        <v>104</v>
      </c>
      <c r="H461" t="s">
        <v>73</v>
      </c>
      <c r="I461">
        <v>10.4</v>
      </c>
      <c r="J461">
        <v>7.4</v>
      </c>
      <c r="K461">
        <v>9.1</v>
      </c>
      <c r="L461">
        <v>31</v>
      </c>
      <c r="M461">
        <v>211</v>
      </c>
      <c r="N461">
        <v>5</v>
      </c>
      <c r="O461">
        <v>7</v>
      </c>
      <c r="P461" t="s">
        <v>895</v>
      </c>
      <c r="Q461">
        <v>9.1</v>
      </c>
    </row>
    <row r="462" spans="1:17" x14ac:dyDescent="0.25">
      <c r="A462">
        <v>2025</v>
      </c>
      <c r="B462" t="s">
        <v>843</v>
      </c>
      <c r="C462" t="s">
        <v>896</v>
      </c>
      <c r="D462" t="s">
        <v>118</v>
      </c>
      <c r="E462">
        <v>2</v>
      </c>
      <c r="F462">
        <v>4</v>
      </c>
      <c r="G462" t="s">
        <v>104</v>
      </c>
      <c r="H462" t="s">
        <v>73</v>
      </c>
      <c r="I462">
        <v>9.8000000000000007</v>
      </c>
      <c r="J462">
        <v>7.1</v>
      </c>
      <c r="K462">
        <v>8.6</v>
      </c>
      <c r="L462">
        <v>33</v>
      </c>
      <c r="M462">
        <v>201</v>
      </c>
      <c r="N462">
        <v>6</v>
      </c>
      <c r="O462">
        <v>7</v>
      </c>
      <c r="P462" t="s">
        <v>897</v>
      </c>
      <c r="Q462">
        <v>8.6</v>
      </c>
    </row>
    <row r="463" spans="1:17" x14ac:dyDescent="0.25">
      <c r="A463">
        <v>2025</v>
      </c>
      <c r="B463" t="s">
        <v>843</v>
      </c>
      <c r="C463" t="s">
        <v>898</v>
      </c>
      <c r="D463" t="s">
        <v>118</v>
      </c>
      <c r="E463">
        <v>3</v>
      </c>
      <c r="F463">
        <v>6</v>
      </c>
      <c r="G463" t="s">
        <v>104</v>
      </c>
      <c r="H463" t="s">
        <v>73</v>
      </c>
      <c r="I463">
        <v>10.199999999999999</v>
      </c>
      <c r="J463">
        <v>7.4</v>
      </c>
      <c r="K463">
        <v>8.9</v>
      </c>
      <c r="L463">
        <v>32</v>
      </c>
      <c r="M463">
        <v>210</v>
      </c>
      <c r="N463">
        <v>5</v>
      </c>
      <c r="O463">
        <v>6</v>
      </c>
      <c r="P463" t="s">
        <v>899</v>
      </c>
      <c r="Q463">
        <v>8.9</v>
      </c>
    </row>
    <row r="464" spans="1:17" x14ac:dyDescent="0.25">
      <c r="A464">
        <v>2025</v>
      </c>
      <c r="B464" t="s">
        <v>843</v>
      </c>
      <c r="C464" t="s">
        <v>900</v>
      </c>
      <c r="D464" t="s">
        <v>118</v>
      </c>
      <c r="E464">
        <v>3</v>
      </c>
      <c r="F464">
        <v>6</v>
      </c>
      <c r="G464" t="s">
        <v>104</v>
      </c>
      <c r="H464" t="s">
        <v>73</v>
      </c>
      <c r="I464">
        <v>10.4</v>
      </c>
      <c r="J464">
        <v>7.1</v>
      </c>
      <c r="K464">
        <v>9</v>
      </c>
      <c r="L464">
        <v>31</v>
      </c>
      <c r="M464">
        <v>211</v>
      </c>
      <c r="N464">
        <v>5</v>
      </c>
      <c r="O464">
        <v>6</v>
      </c>
      <c r="P464" t="s">
        <v>901</v>
      </c>
      <c r="Q464">
        <v>9</v>
      </c>
    </row>
    <row r="465" spans="1:17" x14ac:dyDescent="0.25">
      <c r="A465">
        <v>2025</v>
      </c>
      <c r="B465" t="s">
        <v>843</v>
      </c>
      <c r="C465" t="s">
        <v>902</v>
      </c>
      <c r="D465" t="s">
        <v>96</v>
      </c>
      <c r="E465">
        <v>2</v>
      </c>
      <c r="F465">
        <v>4</v>
      </c>
      <c r="G465" t="s">
        <v>104</v>
      </c>
      <c r="H465" t="s">
        <v>73</v>
      </c>
      <c r="I465">
        <v>10</v>
      </c>
      <c r="J465">
        <v>7.2</v>
      </c>
      <c r="K465">
        <v>8.6999999999999993</v>
      </c>
      <c r="L465">
        <v>32</v>
      </c>
      <c r="M465">
        <v>203</v>
      </c>
      <c r="N465">
        <v>5</v>
      </c>
      <c r="O465">
        <v>7</v>
      </c>
      <c r="P465" t="s">
        <v>903</v>
      </c>
      <c r="Q465">
        <v>8.6999999999999993</v>
      </c>
    </row>
    <row r="466" spans="1:17" x14ac:dyDescent="0.25">
      <c r="A466">
        <v>2025</v>
      </c>
      <c r="B466" t="s">
        <v>843</v>
      </c>
      <c r="C466" t="s">
        <v>904</v>
      </c>
      <c r="D466" t="s">
        <v>96</v>
      </c>
      <c r="E466">
        <v>3</v>
      </c>
      <c r="F466">
        <v>6</v>
      </c>
      <c r="G466" t="s">
        <v>104</v>
      </c>
      <c r="H466" t="s">
        <v>73</v>
      </c>
      <c r="I466">
        <v>10.8</v>
      </c>
      <c r="J466">
        <v>7.7</v>
      </c>
      <c r="K466">
        <v>9.4</v>
      </c>
      <c r="L466">
        <v>30</v>
      </c>
      <c r="M466">
        <v>221</v>
      </c>
      <c r="N466">
        <v>5</v>
      </c>
      <c r="O466">
        <v>6</v>
      </c>
      <c r="P466" t="s">
        <v>905</v>
      </c>
      <c r="Q466">
        <v>9.4</v>
      </c>
    </row>
    <row r="467" spans="1:17" x14ac:dyDescent="0.25">
      <c r="A467">
        <v>2025</v>
      </c>
      <c r="B467" t="s">
        <v>843</v>
      </c>
      <c r="C467" t="s">
        <v>906</v>
      </c>
      <c r="D467" t="s">
        <v>83</v>
      </c>
      <c r="E467">
        <v>3</v>
      </c>
      <c r="F467">
        <v>6</v>
      </c>
      <c r="G467" t="s">
        <v>104</v>
      </c>
      <c r="H467" t="s">
        <v>73</v>
      </c>
      <c r="I467">
        <v>13.6</v>
      </c>
      <c r="J467">
        <v>12.4</v>
      </c>
      <c r="K467">
        <v>13.1</v>
      </c>
      <c r="L467">
        <v>22</v>
      </c>
      <c r="M467">
        <v>305</v>
      </c>
      <c r="N467">
        <v>4</v>
      </c>
      <c r="O467">
        <v>6</v>
      </c>
      <c r="P467" t="s">
        <v>907</v>
      </c>
      <c r="Q467">
        <v>13.1</v>
      </c>
    </row>
    <row r="468" spans="1:17" x14ac:dyDescent="0.25">
      <c r="A468">
        <v>2025</v>
      </c>
      <c r="B468" t="s">
        <v>843</v>
      </c>
      <c r="C468" t="s">
        <v>908</v>
      </c>
      <c r="D468" t="s">
        <v>79</v>
      </c>
      <c r="E468">
        <v>2</v>
      </c>
      <c r="F468">
        <v>4</v>
      </c>
      <c r="G468" t="s">
        <v>426</v>
      </c>
      <c r="H468" t="s">
        <v>73</v>
      </c>
      <c r="I468">
        <v>9.4</v>
      </c>
      <c r="J468">
        <v>7.1</v>
      </c>
      <c r="K468">
        <v>8.4</v>
      </c>
      <c r="L468">
        <v>34</v>
      </c>
      <c r="M468">
        <v>196</v>
      </c>
      <c r="N468">
        <v>6</v>
      </c>
      <c r="O468">
        <v>6</v>
      </c>
      <c r="P468" t="s">
        <v>909</v>
      </c>
      <c r="Q468">
        <v>8.4</v>
      </c>
    </row>
    <row r="469" spans="1:17" x14ac:dyDescent="0.25">
      <c r="A469">
        <v>2025</v>
      </c>
      <c r="B469" t="s">
        <v>843</v>
      </c>
      <c r="C469" t="s">
        <v>910</v>
      </c>
      <c r="D469" t="s">
        <v>79</v>
      </c>
      <c r="E469">
        <v>2</v>
      </c>
      <c r="F469">
        <v>4</v>
      </c>
      <c r="G469" t="s">
        <v>426</v>
      </c>
      <c r="H469" t="s">
        <v>73</v>
      </c>
      <c r="I469">
        <v>9.8000000000000007</v>
      </c>
      <c r="J469">
        <v>7.2</v>
      </c>
      <c r="K469">
        <v>8.6</v>
      </c>
      <c r="L469">
        <v>33</v>
      </c>
      <c r="M469">
        <v>201</v>
      </c>
      <c r="N469">
        <v>5</v>
      </c>
      <c r="O469">
        <v>6</v>
      </c>
      <c r="P469" t="s">
        <v>911</v>
      </c>
      <c r="Q469">
        <v>8.6</v>
      </c>
    </row>
    <row r="470" spans="1:17" x14ac:dyDescent="0.25">
      <c r="A470">
        <v>2025</v>
      </c>
      <c r="B470" t="s">
        <v>843</v>
      </c>
      <c r="C470" t="s">
        <v>912</v>
      </c>
      <c r="D470" t="s">
        <v>79</v>
      </c>
      <c r="E470">
        <v>2</v>
      </c>
      <c r="F470">
        <v>4</v>
      </c>
      <c r="G470" t="s">
        <v>104</v>
      </c>
      <c r="H470" t="s">
        <v>73</v>
      </c>
      <c r="I470">
        <v>10</v>
      </c>
      <c r="J470">
        <v>7.6</v>
      </c>
      <c r="K470">
        <v>8.9</v>
      </c>
      <c r="L470">
        <v>32</v>
      </c>
      <c r="M470">
        <v>210</v>
      </c>
      <c r="N470">
        <v>5</v>
      </c>
      <c r="O470">
        <v>6</v>
      </c>
      <c r="P470" t="s">
        <v>913</v>
      </c>
      <c r="Q470">
        <v>8.9</v>
      </c>
    </row>
    <row r="471" spans="1:17" x14ac:dyDescent="0.25">
      <c r="A471">
        <v>2025</v>
      </c>
      <c r="B471" t="s">
        <v>843</v>
      </c>
      <c r="C471" t="s">
        <v>914</v>
      </c>
      <c r="D471" t="s">
        <v>79</v>
      </c>
      <c r="E471">
        <v>2</v>
      </c>
      <c r="F471">
        <v>4</v>
      </c>
      <c r="G471" t="s">
        <v>104</v>
      </c>
      <c r="H471" t="s">
        <v>73</v>
      </c>
      <c r="I471">
        <v>10.1</v>
      </c>
      <c r="J471">
        <v>7.7</v>
      </c>
      <c r="K471">
        <v>9</v>
      </c>
      <c r="L471">
        <v>31</v>
      </c>
      <c r="M471">
        <v>210</v>
      </c>
      <c r="N471">
        <v>5</v>
      </c>
      <c r="O471">
        <v>6</v>
      </c>
      <c r="P471" t="s">
        <v>915</v>
      </c>
      <c r="Q471">
        <v>9</v>
      </c>
    </row>
    <row r="472" spans="1:17" x14ac:dyDescent="0.25">
      <c r="A472">
        <v>2025</v>
      </c>
      <c r="B472" t="s">
        <v>843</v>
      </c>
      <c r="C472" t="s">
        <v>916</v>
      </c>
      <c r="D472" t="s">
        <v>83</v>
      </c>
      <c r="E472">
        <v>2</v>
      </c>
      <c r="F472">
        <v>4</v>
      </c>
      <c r="G472" t="s">
        <v>104</v>
      </c>
      <c r="H472" t="s">
        <v>73</v>
      </c>
      <c r="I472">
        <v>12.2</v>
      </c>
      <c r="J472">
        <v>9.1999999999999993</v>
      </c>
      <c r="K472">
        <v>10.8</v>
      </c>
      <c r="L472">
        <v>26</v>
      </c>
      <c r="M472">
        <v>255</v>
      </c>
      <c r="N472">
        <v>5</v>
      </c>
      <c r="O472">
        <v>6</v>
      </c>
      <c r="P472" t="s">
        <v>917</v>
      </c>
      <c r="Q472">
        <v>10.8</v>
      </c>
    </row>
    <row r="473" spans="1:17" x14ac:dyDescent="0.25">
      <c r="A473">
        <v>2025</v>
      </c>
      <c r="B473" t="s">
        <v>843</v>
      </c>
      <c r="C473" t="s">
        <v>918</v>
      </c>
      <c r="D473" t="s">
        <v>83</v>
      </c>
      <c r="E473">
        <v>3</v>
      </c>
      <c r="F473">
        <v>6</v>
      </c>
      <c r="G473" t="s">
        <v>104</v>
      </c>
      <c r="H473" t="s">
        <v>73</v>
      </c>
      <c r="I473">
        <v>12.5</v>
      </c>
      <c r="J473">
        <v>9.6</v>
      </c>
      <c r="K473">
        <v>11.2</v>
      </c>
      <c r="L473">
        <v>25</v>
      </c>
      <c r="M473">
        <v>264</v>
      </c>
      <c r="N473">
        <v>4</v>
      </c>
      <c r="O473">
        <v>6</v>
      </c>
      <c r="P473" t="s">
        <v>919</v>
      </c>
      <c r="Q473">
        <v>11.2</v>
      </c>
    </row>
    <row r="474" spans="1:17" x14ac:dyDescent="0.25">
      <c r="A474">
        <v>2025</v>
      </c>
      <c r="B474" t="s">
        <v>843</v>
      </c>
      <c r="C474" t="s">
        <v>920</v>
      </c>
      <c r="D474" t="s">
        <v>83</v>
      </c>
      <c r="E474">
        <v>3</v>
      </c>
      <c r="F474">
        <v>6</v>
      </c>
      <c r="G474" t="s">
        <v>104</v>
      </c>
      <c r="H474" t="s">
        <v>73</v>
      </c>
      <c r="I474">
        <v>12.5</v>
      </c>
      <c r="J474">
        <v>9.6</v>
      </c>
      <c r="K474">
        <v>11.2</v>
      </c>
      <c r="L474">
        <v>25</v>
      </c>
      <c r="M474">
        <v>264</v>
      </c>
      <c r="N474">
        <v>4</v>
      </c>
      <c r="O474">
        <v>6</v>
      </c>
      <c r="P474" t="s">
        <v>921</v>
      </c>
      <c r="Q474">
        <v>11.2</v>
      </c>
    </row>
    <row r="475" spans="1:17" x14ac:dyDescent="0.25">
      <c r="A475">
        <v>2025</v>
      </c>
      <c r="B475" t="s">
        <v>843</v>
      </c>
      <c r="C475" t="s">
        <v>922</v>
      </c>
      <c r="D475" t="s">
        <v>83</v>
      </c>
      <c r="E475">
        <v>3</v>
      </c>
      <c r="F475">
        <v>6</v>
      </c>
      <c r="G475" t="s">
        <v>104</v>
      </c>
      <c r="H475" t="s">
        <v>73</v>
      </c>
      <c r="I475">
        <v>12.7</v>
      </c>
      <c r="J475">
        <v>9.6</v>
      </c>
      <c r="K475">
        <v>11.3</v>
      </c>
      <c r="L475">
        <v>25</v>
      </c>
      <c r="M475">
        <v>266</v>
      </c>
      <c r="N475">
        <v>4</v>
      </c>
      <c r="O475">
        <v>6</v>
      </c>
      <c r="P475" t="s">
        <v>923</v>
      </c>
      <c r="Q475">
        <v>11.3</v>
      </c>
    </row>
    <row r="476" spans="1:17" x14ac:dyDescent="0.25">
      <c r="A476">
        <v>2025</v>
      </c>
      <c r="B476" t="s">
        <v>843</v>
      </c>
      <c r="C476" t="s">
        <v>924</v>
      </c>
      <c r="D476" t="s">
        <v>83</v>
      </c>
      <c r="E476">
        <v>4</v>
      </c>
      <c r="F476">
        <v>8</v>
      </c>
      <c r="G476" t="s">
        <v>104</v>
      </c>
      <c r="H476" t="s">
        <v>73</v>
      </c>
      <c r="I476">
        <v>16.600000000000001</v>
      </c>
      <c r="J476">
        <v>12.1</v>
      </c>
      <c r="K476">
        <v>14.6</v>
      </c>
      <c r="L476">
        <v>19</v>
      </c>
      <c r="M476">
        <v>340</v>
      </c>
      <c r="N476">
        <v>3</v>
      </c>
      <c r="O476">
        <v>4</v>
      </c>
      <c r="P476" t="s">
        <v>925</v>
      </c>
      <c r="Q476">
        <v>14.6</v>
      </c>
    </row>
    <row r="477" spans="1:17" x14ac:dyDescent="0.25">
      <c r="A477">
        <v>2025</v>
      </c>
      <c r="B477" t="s">
        <v>843</v>
      </c>
      <c r="C477" t="s">
        <v>926</v>
      </c>
      <c r="D477" t="s">
        <v>83</v>
      </c>
      <c r="E477">
        <v>4</v>
      </c>
      <c r="F477">
        <v>8</v>
      </c>
      <c r="G477" t="s">
        <v>104</v>
      </c>
      <c r="H477" t="s">
        <v>73</v>
      </c>
      <c r="I477">
        <v>17.899999999999999</v>
      </c>
      <c r="J477">
        <v>12.9</v>
      </c>
      <c r="K477">
        <v>15.6</v>
      </c>
      <c r="L477">
        <v>18</v>
      </c>
      <c r="M477">
        <v>365</v>
      </c>
      <c r="N477">
        <v>2</v>
      </c>
      <c r="O477">
        <v>4</v>
      </c>
      <c r="P477" t="s">
        <v>927</v>
      </c>
      <c r="Q477">
        <v>15.6</v>
      </c>
    </row>
    <row r="478" spans="1:17" x14ac:dyDescent="0.25">
      <c r="A478">
        <v>2025</v>
      </c>
      <c r="B478" t="s">
        <v>843</v>
      </c>
      <c r="C478" t="s">
        <v>928</v>
      </c>
      <c r="D478" t="s">
        <v>71</v>
      </c>
      <c r="E478">
        <v>4</v>
      </c>
      <c r="F478">
        <v>8</v>
      </c>
      <c r="G478" t="s">
        <v>104</v>
      </c>
      <c r="H478" t="s">
        <v>73</v>
      </c>
      <c r="I478">
        <v>14.6</v>
      </c>
      <c r="J478">
        <v>8.8000000000000007</v>
      </c>
      <c r="K478">
        <v>12</v>
      </c>
      <c r="L478">
        <v>24</v>
      </c>
      <c r="M478">
        <v>280</v>
      </c>
      <c r="N478">
        <v>4</v>
      </c>
      <c r="O478">
        <v>4</v>
      </c>
      <c r="P478" t="s">
        <v>929</v>
      </c>
      <c r="Q478">
        <v>12</v>
      </c>
    </row>
    <row r="479" spans="1:17" x14ac:dyDescent="0.25">
      <c r="A479">
        <v>2025</v>
      </c>
      <c r="B479" t="s">
        <v>843</v>
      </c>
      <c r="C479" t="s">
        <v>930</v>
      </c>
      <c r="D479" t="s">
        <v>71</v>
      </c>
      <c r="E479">
        <v>6</v>
      </c>
      <c r="F479">
        <v>12</v>
      </c>
      <c r="G479" t="s">
        <v>104</v>
      </c>
      <c r="H479" t="s">
        <v>73</v>
      </c>
      <c r="I479">
        <v>19.8</v>
      </c>
      <c r="J479">
        <v>11.6</v>
      </c>
      <c r="K479">
        <v>16.100000000000001</v>
      </c>
      <c r="L479">
        <v>18</v>
      </c>
      <c r="M479">
        <v>375</v>
      </c>
      <c r="N479">
        <v>2</v>
      </c>
      <c r="O479">
        <v>2</v>
      </c>
      <c r="P479" t="s">
        <v>931</v>
      </c>
      <c r="Q479">
        <v>16.100000000000001</v>
      </c>
    </row>
    <row r="480" spans="1:17" x14ac:dyDescent="0.25">
      <c r="A480">
        <v>2025</v>
      </c>
      <c r="B480" t="s">
        <v>843</v>
      </c>
      <c r="C480" t="s">
        <v>932</v>
      </c>
      <c r="D480" t="s">
        <v>71</v>
      </c>
      <c r="E480">
        <v>3</v>
      </c>
      <c r="F480">
        <v>6</v>
      </c>
      <c r="G480" t="s">
        <v>104</v>
      </c>
      <c r="H480" t="s">
        <v>73</v>
      </c>
      <c r="I480">
        <v>11.2</v>
      </c>
      <c r="J480">
        <v>7.7</v>
      </c>
      <c r="K480">
        <v>9.6</v>
      </c>
      <c r="L480">
        <v>29</v>
      </c>
      <c r="M480">
        <v>226</v>
      </c>
      <c r="N480">
        <v>5</v>
      </c>
      <c r="O480">
        <v>6</v>
      </c>
      <c r="P480" t="s">
        <v>933</v>
      </c>
      <c r="Q480">
        <v>9.6</v>
      </c>
    </row>
    <row r="481" spans="1:17" x14ac:dyDescent="0.25">
      <c r="A481">
        <v>2025</v>
      </c>
      <c r="B481" t="s">
        <v>843</v>
      </c>
      <c r="C481" t="s">
        <v>934</v>
      </c>
      <c r="D481" t="s">
        <v>71</v>
      </c>
      <c r="E481">
        <v>4</v>
      </c>
      <c r="F481">
        <v>8</v>
      </c>
      <c r="G481" t="s">
        <v>104</v>
      </c>
      <c r="H481" t="s">
        <v>73</v>
      </c>
      <c r="I481">
        <v>14.1</v>
      </c>
      <c r="J481">
        <v>9.4</v>
      </c>
      <c r="K481">
        <v>12</v>
      </c>
      <c r="L481">
        <v>24</v>
      </c>
      <c r="M481">
        <v>278</v>
      </c>
      <c r="N481">
        <v>4</v>
      </c>
      <c r="O481">
        <v>4</v>
      </c>
      <c r="P481" t="s">
        <v>935</v>
      </c>
      <c r="Q481">
        <v>12</v>
      </c>
    </row>
    <row r="482" spans="1:17" x14ac:dyDescent="0.25">
      <c r="A482">
        <v>2025</v>
      </c>
      <c r="B482" t="s">
        <v>936</v>
      </c>
      <c r="C482" t="s">
        <v>937</v>
      </c>
      <c r="D482" t="s">
        <v>118</v>
      </c>
      <c r="E482">
        <v>2</v>
      </c>
      <c r="F482">
        <v>4</v>
      </c>
      <c r="G482" t="s">
        <v>119</v>
      </c>
      <c r="H482" t="s">
        <v>73</v>
      </c>
      <c r="I482">
        <v>8.5</v>
      </c>
      <c r="J482">
        <v>6</v>
      </c>
      <c r="K482">
        <v>7.4</v>
      </c>
      <c r="L482">
        <v>38</v>
      </c>
      <c r="M482">
        <v>171</v>
      </c>
      <c r="N482">
        <v>6</v>
      </c>
      <c r="O482">
        <v>6</v>
      </c>
      <c r="P482" t="s">
        <v>938</v>
      </c>
      <c r="Q482">
        <v>7.4</v>
      </c>
    </row>
    <row r="483" spans="1:17" x14ac:dyDescent="0.25">
      <c r="A483">
        <v>2025</v>
      </c>
      <c r="B483" t="s">
        <v>936</v>
      </c>
      <c r="C483" t="s">
        <v>939</v>
      </c>
      <c r="D483" t="s">
        <v>90</v>
      </c>
      <c r="E483">
        <v>2</v>
      </c>
      <c r="F483">
        <v>4</v>
      </c>
      <c r="G483" t="s">
        <v>119</v>
      </c>
      <c r="H483" t="s">
        <v>73</v>
      </c>
      <c r="I483">
        <v>8.5</v>
      </c>
      <c r="J483">
        <v>6</v>
      </c>
      <c r="K483">
        <v>7.4</v>
      </c>
      <c r="L483">
        <v>38</v>
      </c>
      <c r="M483">
        <v>171</v>
      </c>
      <c r="N483">
        <v>6</v>
      </c>
      <c r="O483">
        <v>6</v>
      </c>
      <c r="P483" t="s">
        <v>940</v>
      </c>
      <c r="Q483">
        <v>7.4</v>
      </c>
    </row>
    <row r="484" spans="1:17" x14ac:dyDescent="0.25">
      <c r="A484">
        <v>2025</v>
      </c>
      <c r="B484" t="s">
        <v>936</v>
      </c>
      <c r="C484" t="s">
        <v>941</v>
      </c>
      <c r="D484" t="s">
        <v>109</v>
      </c>
      <c r="E484">
        <v>2</v>
      </c>
      <c r="F484">
        <v>4</v>
      </c>
      <c r="G484" t="s">
        <v>119</v>
      </c>
      <c r="H484" t="s">
        <v>73</v>
      </c>
      <c r="I484">
        <v>8.8000000000000007</v>
      </c>
      <c r="J484">
        <v>6.4</v>
      </c>
      <c r="K484">
        <v>7.7</v>
      </c>
      <c r="L484">
        <v>37</v>
      </c>
      <c r="M484">
        <v>179</v>
      </c>
      <c r="N484">
        <v>6</v>
      </c>
      <c r="O484">
        <v>6</v>
      </c>
      <c r="P484" t="s">
        <v>942</v>
      </c>
      <c r="Q484">
        <v>7.7</v>
      </c>
    </row>
    <row r="485" spans="1:17" x14ac:dyDescent="0.25">
      <c r="A485">
        <v>2025</v>
      </c>
      <c r="B485" t="s">
        <v>936</v>
      </c>
      <c r="C485" t="s">
        <v>943</v>
      </c>
      <c r="D485" t="s">
        <v>118</v>
      </c>
      <c r="E485">
        <v>2</v>
      </c>
      <c r="F485">
        <v>4</v>
      </c>
      <c r="G485" t="s">
        <v>119</v>
      </c>
      <c r="H485" t="s">
        <v>73</v>
      </c>
      <c r="I485">
        <v>8.5</v>
      </c>
      <c r="J485">
        <v>6.1</v>
      </c>
      <c r="K485">
        <v>7.4</v>
      </c>
      <c r="L485">
        <v>38</v>
      </c>
      <c r="M485">
        <v>171</v>
      </c>
      <c r="N485">
        <v>6</v>
      </c>
      <c r="O485">
        <v>6</v>
      </c>
      <c r="P485" t="s">
        <v>944</v>
      </c>
      <c r="Q485">
        <v>7.4</v>
      </c>
    </row>
    <row r="486" spans="1:17" x14ac:dyDescent="0.25">
      <c r="A486">
        <v>2025</v>
      </c>
      <c r="B486" t="s">
        <v>936</v>
      </c>
      <c r="C486" t="s">
        <v>945</v>
      </c>
      <c r="D486" t="s">
        <v>90</v>
      </c>
      <c r="E486">
        <v>2</v>
      </c>
      <c r="F486">
        <v>4</v>
      </c>
      <c r="G486" t="s">
        <v>119</v>
      </c>
      <c r="H486" t="s">
        <v>73</v>
      </c>
      <c r="I486">
        <v>8.4</v>
      </c>
      <c r="J486">
        <v>6.1</v>
      </c>
      <c r="K486">
        <v>7.3</v>
      </c>
      <c r="L486">
        <v>39</v>
      </c>
      <c r="M486">
        <v>170</v>
      </c>
      <c r="N486">
        <v>6</v>
      </c>
      <c r="O486">
        <v>6</v>
      </c>
      <c r="P486" t="s">
        <v>946</v>
      </c>
      <c r="Q486">
        <v>7.3</v>
      </c>
    </row>
    <row r="487" spans="1:17" x14ac:dyDescent="0.25">
      <c r="A487">
        <v>2025</v>
      </c>
      <c r="B487" t="s">
        <v>936</v>
      </c>
      <c r="C487" t="s">
        <v>947</v>
      </c>
      <c r="D487" t="s">
        <v>109</v>
      </c>
      <c r="E487">
        <v>2</v>
      </c>
      <c r="F487">
        <v>4</v>
      </c>
      <c r="G487" t="s">
        <v>119</v>
      </c>
      <c r="H487" t="s">
        <v>73</v>
      </c>
      <c r="I487">
        <v>8.9</v>
      </c>
      <c r="J487">
        <v>6.6</v>
      </c>
      <c r="K487">
        <v>7.9</v>
      </c>
      <c r="L487">
        <v>36</v>
      </c>
      <c r="M487">
        <v>181</v>
      </c>
      <c r="N487">
        <v>6</v>
      </c>
      <c r="O487">
        <v>6</v>
      </c>
      <c r="P487" t="s">
        <v>948</v>
      </c>
      <c r="Q487">
        <v>7.9</v>
      </c>
    </row>
    <row r="488" spans="1:17" x14ac:dyDescent="0.25">
      <c r="A488">
        <v>2025</v>
      </c>
      <c r="B488" t="s">
        <v>936</v>
      </c>
      <c r="C488" t="s">
        <v>949</v>
      </c>
      <c r="D488" t="s">
        <v>79</v>
      </c>
      <c r="E488">
        <v>2</v>
      </c>
      <c r="F488">
        <v>4</v>
      </c>
      <c r="G488" t="s">
        <v>119</v>
      </c>
      <c r="H488" t="s">
        <v>73</v>
      </c>
      <c r="I488">
        <v>9.8000000000000007</v>
      </c>
      <c r="J488">
        <v>7.3</v>
      </c>
      <c r="K488">
        <v>8.6999999999999993</v>
      </c>
      <c r="L488">
        <v>32</v>
      </c>
      <c r="M488">
        <v>201</v>
      </c>
      <c r="N488">
        <v>6</v>
      </c>
      <c r="O488">
        <v>6</v>
      </c>
      <c r="P488" t="s">
        <v>950</v>
      </c>
      <c r="Q488">
        <v>8.6999999999999993</v>
      </c>
    </row>
    <row r="489" spans="1:17" x14ac:dyDescent="0.25">
      <c r="A489">
        <v>2025</v>
      </c>
      <c r="B489" t="s">
        <v>936</v>
      </c>
      <c r="C489" t="s">
        <v>951</v>
      </c>
      <c r="D489" t="s">
        <v>118</v>
      </c>
      <c r="E489">
        <v>2</v>
      </c>
      <c r="F489">
        <v>4</v>
      </c>
      <c r="G489" t="s">
        <v>119</v>
      </c>
      <c r="H489" t="s">
        <v>73</v>
      </c>
      <c r="I489">
        <v>8.8000000000000007</v>
      </c>
      <c r="J489">
        <v>6.4</v>
      </c>
      <c r="K489">
        <v>7.7</v>
      </c>
      <c r="L489">
        <v>37</v>
      </c>
      <c r="M489">
        <v>179</v>
      </c>
      <c r="N489">
        <v>6</v>
      </c>
      <c r="O489">
        <v>7</v>
      </c>
      <c r="P489" t="s">
        <v>952</v>
      </c>
      <c r="Q489">
        <v>7.7</v>
      </c>
    </row>
    <row r="490" spans="1:17" x14ac:dyDescent="0.25">
      <c r="A490">
        <v>2025</v>
      </c>
      <c r="B490" t="s">
        <v>936</v>
      </c>
      <c r="C490" t="s">
        <v>953</v>
      </c>
      <c r="D490" t="s">
        <v>109</v>
      </c>
      <c r="E490">
        <v>2</v>
      </c>
      <c r="F490">
        <v>4</v>
      </c>
      <c r="G490" t="s">
        <v>119</v>
      </c>
      <c r="H490" t="s">
        <v>73</v>
      </c>
      <c r="I490">
        <v>9</v>
      </c>
      <c r="J490">
        <v>6.6</v>
      </c>
      <c r="K490">
        <v>7.9</v>
      </c>
      <c r="L490">
        <v>36</v>
      </c>
      <c r="M490">
        <v>184</v>
      </c>
      <c r="N490">
        <v>6</v>
      </c>
      <c r="O490">
        <v>7</v>
      </c>
      <c r="P490" t="s">
        <v>954</v>
      </c>
      <c r="Q490">
        <v>7.9</v>
      </c>
    </row>
    <row r="491" spans="1:17" x14ac:dyDescent="0.25">
      <c r="A491">
        <v>2025</v>
      </c>
      <c r="B491" t="s">
        <v>936</v>
      </c>
      <c r="C491" t="s">
        <v>955</v>
      </c>
      <c r="D491" t="s">
        <v>79</v>
      </c>
      <c r="E491">
        <v>2</v>
      </c>
      <c r="F491">
        <v>4</v>
      </c>
      <c r="G491" t="s">
        <v>119</v>
      </c>
      <c r="H491" t="s">
        <v>73</v>
      </c>
      <c r="I491">
        <v>10.199999999999999</v>
      </c>
      <c r="J491">
        <v>7.9</v>
      </c>
      <c r="K491">
        <v>9.1999999999999993</v>
      </c>
      <c r="L491">
        <v>31</v>
      </c>
      <c r="M491">
        <v>212</v>
      </c>
      <c r="N491">
        <v>5</v>
      </c>
      <c r="O491">
        <v>5</v>
      </c>
      <c r="P491" t="s">
        <v>956</v>
      </c>
      <c r="Q491">
        <v>9.1999999999999993</v>
      </c>
    </row>
    <row r="492" spans="1:17" x14ac:dyDescent="0.25">
      <c r="A492">
        <v>2025</v>
      </c>
      <c r="B492" t="s">
        <v>957</v>
      </c>
      <c r="C492" t="s">
        <v>958</v>
      </c>
      <c r="D492" t="s">
        <v>79</v>
      </c>
      <c r="E492">
        <v>1.5</v>
      </c>
      <c r="F492">
        <v>4</v>
      </c>
      <c r="G492" t="s">
        <v>631</v>
      </c>
      <c r="H492" t="s">
        <v>105</v>
      </c>
      <c r="I492">
        <v>9.6</v>
      </c>
      <c r="J492">
        <v>8.9</v>
      </c>
      <c r="K492">
        <v>9.3000000000000007</v>
      </c>
      <c r="L492">
        <v>30</v>
      </c>
      <c r="M492">
        <v>216</v>
      </c>
      <c r="N492">
        <v>5</v>
      </c>
      <c r="O492">
        <v>4</v>
      </c>
      <c r="P492" t="s">
        <v>959</v>
      </c>
      <c r="Q492">
        <v>9.3000000000000007</v>
      </c>
    </row>
    <row r="493" spans="1:17" x14ac:dyDescent="0.25">
      <c r="A493">
        <v>2025</v>
      </c>
      <c r="B493" t="s">
        <v>957</v>
      </c>
      <c r="C493" t="s">
        <v>960</v>
      </c>
      <c r="D493" t="s">
        <v>79</v>
      </c>
      <c r="E493">
        <v>2.5</v>
      </c>
      <c r="F493">
        <v>4</v>
      </c>
      <c r="G493" t="s">
        <v>631</v>
      </c>
      <c r="H493" t="s">
        <v>105</v>
      </c>
      <c r="I493">
        <v>9.6999999999999993</v>
      </c>
      <c r="J493">
        <v>7.7</v>
      </c>
      <c r="K493">
        <v>8.8000000000000007</v>
      </c>
      <c r="L493">
        <v>32</v>
      </c>
      <c r="M493">
        <v>206</v>
      </c>
      <c r="N493">
        <v>5</v>
      </c>
      <c r="O493">
        <v>5</v>
      </c>
      <c r="P493" t="s">
        <v>961</v>
      </c>
      <c r="Q493">
        <v>8.8000000000000007</v>
      </c>
    </row>
    <row r="494" spans="1:17" x14ac:dyDescent="0.25">
      <c r="A494">
        <v>2025</v>
      </c>
      <c r="B494" t="s">
        <v>957</v>
      </c>
      <c r="C494" t="s">
        <v>962</v>
      </c>
      <c r="D494" t="s">
        <v>79</v>
      </c>
      <c r="E494">
        <v>2</v>
      </c>
      <c r="F494">
        <v>4</v>
      </c>
      <c r="G494" t="s">
        <v>734</v>
      </c>
      <c r="H494" t="s">
        <v>105</v>
      </c>
      <c r="I494">
        <v>9.6999999999999993</v>
      </c>
      <c r="J494">
        <v>7.8</v>
      </c>
      <c r="K494">
        <v>8.9</v>
      </c>
      <c r="L494">
        <v>32</v>
      </c>
      <c r="M494">
        <v>207</v>
      </c>
      <c r="N494">
        <v>5</v>
      </c>
      <c r="O494">
        <v>4</v>
      </c>
      <c r="P494" t="s">
        <v>963</v>
      </c>
      <c r="Q494">
        <v>8.9</v>
      </c>
    </row>
    <row r="495" spans="1:17" x14ac:dyDescent="0.25">
      <c r="A495">
        <v>2025</v>
      </c>
      <c r="B495" t="s">
        <v>957</v>
      </c>
      <c r="C495" t="s">
        <v>964</v>
      </c>
      <c r="D495" t="s">
        <v>79</v>
      </c>
      <c r="E495">
        <v>2</v>
      </c>
      <c r="F495">
        <v>4</v>
      </c>
      <c r="G495" t="s">
        <v>734</v>
      </c>
      <c r="H495" t="s">
        <v>105</v>
      </c>
      <c r="I495">
        <v>10</v>
      </c>
      <c r="J495">
        <v>8.1</v>
      </c>
      <c r="K495">
        <v>9.1</v>
      </c>
      <c r="L495">
        <v>31</v>
      </c>
      <c r="M495">
        <v>213</v>
      </c>
      <c r="N495">
        <v>5</v>
      </c>
      <c r="O495">
        <v>4</v>
      </c>
      <c r="P495" t="s">
        <v>965</v>
      </c>
      <c r="Q495">
        <v>9.1</v>
      </c>
    </row>
    <row r="496" spans="1:17" x14ac:dyDescent="0.25">
      <c r="A496">
        <v>2025</v>
      </c>
      <c r="B496" t="s">
        <v>957</v>
      </c>
      <c r="C496" t="s">
        <v>964</v>
      </c>
      <c r="D496" t="s">
        <v>79</v>
      </c>
      <c r="E496">
        <v>2.4</v>
      </c>
      <c r="F496">
        <v>4</v>
      </c>
      <c r="G496" t="s">
        <v>734</v>
      </c>
      <c r="H496" t="s">
        <v>105</v>
      </c>
      <c r="I496">
        <v>10.3</v>
      </c>
      <c r="J496">
        <v>8.3000000000000007</v>
      </c>
      <c r="K496">
        <v>9.4</v>
      </c>
      <c r="L496">
        <v>30</v>
      </c>
      <c r="M496">
        <v>218</v>
      </c>
      <c r="N496">
        <v>5</v>
      </c>
      <c r="O496">
        <v>4</v>
      </c>
      <c r="P496" t="s">
        <v>965</v>
      </c>
      <c r="Q496">
        <v>9.4</v>
      </c>
    </row>
    <row r="497" spans="1:17" x14ac:dyDescent="0.25">
      <c r="A497">
        <v>2025</v>
      </c>
      <c r="B497" t="s">
        <v>966</v>
      </c>
      <c r="C497" t="s">
        <v>967</v>
      </c>
      <c r="D497" t="s">
        <v>96</v>
      </c>
      <c r="E497">
        <v>2.5</v>
      </c>
      <c r="F497">
        <v>4</v>
      </c>
      <c r="G497" t="s">
        <v>309</v>
      </c>
      <c r="H497" t="s">
        <v>105</v>
      </c>
      <c r="I497">
        <v>9.3000000000000007</v>
      </c>
      <c r="J497">
        <v>6.9</v>
      </c>
      <c r="K497">
        <v>8.1999999999999993</v>
      </c>
      <c r="L497">
        <v>34</v>
      </c>
      <c r="M497">
        <v>193</v>
      </c>
      <c r="N497">
        <v>6</v>
      </c>
      <c r="O497">
        <v>6</v>
      </c>
      <c r="P497" t="s">
        <v>968</v>
      </c>
      <c r="Q497">
        <v>8.1999999999999993</v>
      </c>
    </row>
    <row r="498" spans="1:17" x14ac:dyDescent="0.25">
      <c r="A498">
        <v>2025</v>
      </c>
      <c r="B498" t="s">
        <v>966</v>
      </c>
      <c r="C498" t="s">
        <v>969</v>
      </c>
      <c r="D498" t="s">
        <v>96</v>
      </c>
      <c r="E498">
        <v>2.5</v>
      </c>
      <c r="F498">
        <v>4</v>
      </c>
      <c r="G498" t="s">
        <v>631</v>
      </c>
      <c r="H498" t="s">
        <v>105</v>
      </c>
      <c r="I498">
        <v>9.5</v>
      </c>
      <c r="J498">
        <v>7.1</v>
      </c>
      <c r="K498">
        <v>8.4</v>
      </c>
      <c r="L498">
        <v>34</v>
      </c>
      <c r="M498">
        <v>198</v>
      </c>
      <c r="N498">
        <v>6</v>
      </c>
      <c r="O498">
        <v>6</v>
      </c>
      <c r="P498" t="s">
        <v>970</v>
      </c>
      <c r="Q498">
        <v>8.4</v>
      </c>
    </row>
    <row r="499" spans="1:17" x14ac:dyDescent="0.25">
      <c r="A499">
        <v>2025</v>
      </c>
      <c r="B499" t="s">
        <v>966</v>
      </c>
      <c r="C499" t="s">
        <v>971</v>
      </c>
      <c r="D499" t="s">
        <v>83</v>
      </c>
      <c r="E499">
        <v>3.5</v>
      </c>
      <c r="F499">
        <v>6</v>
      </c>
      <c r="G499" t="s">
        <v>314</v>
      </c>
      <c r="H499" t="s">
        <v>73</v>
      </c>
      <c r="I499">
        <v>14.7</v>
      </c>
      <c r="J499">
        <v>12.4</v>
      </c>
      <c r="K499">
        <v>13.7</v>
      </c>
      <c r="L499">
        <v>21</v>
      </c>
      <c r="M499">
        <v>323</v>
      </c>
      <c r="N499">
        <v>3</v>
      </c>
      <c r="O499">
        <v>5</v>
      </c>
      <c r="P499" t="s">
        <v>972</v>
      </c>
      <c r="Q499">
        <v>13.7</v>
      </c>
    </row>
    <row r="500" spans="1:17" x14ac:dyDescent="0.25">
      <c r="A500">
        <v>2025</v>
      </c>
      <c r="B500" t="s">
        <v>966</v>
      </c>
      <c r="C500" t="s">
        <v>973</v>
      </c>
      <c r="D500" t="s">
        <v>83</v>
      </c>
      <c r="E500">
        <v>3.5</v>
      </c>
      <c r="F500">
        <v>6</v>
      </c>
      <c r="G500" t="s">
        <v>314</v>
      </c>
      <c r="H500" t="s">
        <v>73</v>
      </c>
      <c r="I500">
        <v>15.7</v>
      </c>
      <c r="J500">
        <v>12.9</v>
      </c>
      <c r="K500">
        <v>14.4</v>
      </c>
      <c r="L500">
        <v>20</v>
      </c>
      <c r="M500">
        <v>339</v>
      </c>
      <c r="N500">
        <v>3</v>
      </c>
      <c r="O500">
        <v>5</v>
      </c>
      <c r="P500" t="s">
        <v>974</v>
      </c>
      <c r="Q500">
        <v>14.4</v>
      </c>
    </row>
    <row r="501" spans="1:17" x14ac:dyDescent="0.25">
      <c r="A501">
        <v>2025</v>
      </c>
      <c r="B501" t="s">
        <v>966</v>
      </c>
      <c r="C501" t="s">
        <v>975</v>
      </c>
      <c r="D501" t="s">
        <v>353</v>
      </c>
      <c r="E501">
        <v>3.8</v>
      </c>
      <c r="F501">
        <v>6</v>
      </c>
      <c r="G501" t="s">
        <v>314</v>
      </c>
      <c r="H501" t="s">
        <v>105</v>
      </c>
      <c r="I501">
        <v>13.4</v>
      </c>
      <c r="J501">
        <v>9.5</v>
      </c>
      <c r="K501">
        <v>11.6</v>
      </c>
      <c r="L501">
        <v>24</v>
      </c>
      <c r="M501">
        <v>274</v>
      </c>
      <c r="N501">
        <v>4</v>
      </c>
      <c r="O501">
        <v>5</v>
      </c>
      <c r="P501" t="s">
        <v>976</v>
      </c>
      <c r="Q501">
        <v>11.6</v>
      </c>
    </row>
    <row r="502" spans="1:17" x14ac:dyDescent="0.25">
      <c r="A502">
        <v>2025</v>
      </c>
      <c r="B502" t="s">
        <v>966</v>
      </c>
      <c r="C502" t="s">
        <v>977</v>
      </c>
      <c r="D502" t="s">
        <v>353</v>
      </c>
      <c r="E502">
        <v>3.8</v>
      </c>
      <c r="F502">
        <v>6</v>
      </c>
      <c r="G502" t="s">
        <v>314</v>
      </c>
      <c r="H502" t="s">
        <v>105</v>
      </c>
      <c r="I502">
        <v>13.3</v>
      </c>
      <c r="J502">
        <v>10.9</v>
      </c>
      <c r="K502">
        <v>12.3</v>
      </c>
      <c r="L502">
        <v>23</v>
      </c>
      <c r="M502">
        <v>290</v>
      </c>
      <c r="N502">
        <v>4</v>
      </c>
      <c r="O502">
        <v>5</v>
      </c>
      <c r="P502" t="s">
        <v>978</v>
      </c>
      <c r="Q502">
        <v>12.3</v>
      </c>
    </row>
    <row r="503" spans="1:17" x14ac:dyDescent="0.25">
      <c r="A503">
        <v>2025</v>
      </c>
      <c r="B503" t="s">
        <v>966</v>
      </c>
      <c r="C503" t="s">
        <v>979</v>
      </c>
      <c r="D503" t="s">
        <v>353</v>
      </c>
      <c r="E503">
        <v>3.8</v>
      </c>
      <c r="F503">
        <v>6</v>
      </c>
      <c r="G503" t="s">
        <v>314</v>
      </c>
      <c r="H503" t="s">
        <v>105</v>
      </c>
      <c r="I503">
        <v>14</v>
      </c>
      <c r="J503">
        <v>11.1</v>
      </c>
      <c r="K503">
        <v>12.7</v>
      </c>
      <c r="L503">
        <v>22</v>
      </c>
      <c r="M503">
        <v>299</v>
      </c>
      <c r="N503">
        <v>4</v>
      </c>
      <c r="O503">
        <v>5</v>
      </c>
      <c r="P503" t="s">
        <v>980</v>
      </c>
      <c r="Q503">
        <v>12.7</v>
      </c>
    </row>
    <row r="504" spans="1:17" x14ac:dyDescent="0.25">
      <c r="A504">
        <v>2025</v>
      </c>
      <c r="B504" t="s">
        <v>966</v>
      </c>
      <c r="C504" t="s">
        <v>981</v>
      </c>
      <c r="D504" t="s">
        <v>79</v>
      </c>
      <c r="E504">
        <v>2</v>
      </c>
      <c r="F504">
        <v>4</v>
      </c>
      <c r="G504" t="s">
        <v>309</v>
      </c>
      <c r="H504" t="s">
        <v>105</v>
      </c>
      <c r="I504">
        <v>8.1</v>
      </c>
      <c r="J504">
        <v>6.6</v>
      </c>
      <c r="K504">
        <v>7.4</v>
      </c>
      <c r="L504">
        <v>38</v>
      </c>
      <c r="M504">
        <v>175</v>
      </c>
      <c r="N504">
        <v>6</v>
      </c>
      <c r="O504">
        <v>6</v>
      </c>
      <c r="P504" t="s">
        <v>982</v>
      </c>
      <c r="Q504">
        <v>7.4</v>
      </c>
    </row>
    <row r="505" spans="1:17" x14ac:dyDescent="0.25">
      <c r="A505">
        <v>2025</v>
      </c>
      <c r="B505" t="s">
        <v>966</v>
      </c>
      <c r="C505" t="s">
        <v>983</v>
      </c>
      <c r="D505" t="s">
        <v>79</v>
      </c>
      <c r="E505">
        <v>2</v>
      </c>
      <c r="F505">
        <v>4</v>
      </c>
      <c r="G505" t="s">
        <v>309</v>
      </c>
      <c r="H505" t="s">
        <v>105</v>
      </c>
      <c r="I505">
        <v>8.4</v>
      </c>
      <c r="J505">
        <v>6.9</v>
      </c>
      <c r="K505">
        <v>7.7</v>
      </c>
      <c r="L505">
        <v>37</v>
      </c>
      <c r="M505">
        <v>182</v>
      </c>
      <c r="N505">
        <v>6</v>
      </c>
      <c r="O505">
        <v>6</v>
      </c>
      <c r="P505" t="s">
        <v>984</v>
      </c>
      <c r="Q505">
        <v>7.7</v>
      </c>
    </row>
    <row r="506" spans="1:17" x14ac:dyDescent="0.25">
      <c r="A506">
        <v>2025</v>
      </c>
      <c r="B506" t="s">
        <v>966</v>
      </c>
      <c r="C506" t="s">
        <v>985</v>
      </c>
      <c r="D506" t="s">
        <v>96</v>
      </c>
      <c r="E506">
        <v>1.6</v>
      </c>
      <c r="F506">
        <v>4</v>
      </c>
      <c r="G506" t="s">
        <v>309</v>
      </c>
      <c r="H506" t="s">
        <v>105</v>
      </c>
      <c r="I506">
        <v>7.7</v>
      </c>
      <c r="J506">
        <v>6.6</v>
      </c>
      <c r="K506">
        <v>7.2</v>
      </c>
      <c r="L506">
        <v>39</v>
      </c>
      <c r="M506">
        <v>169</v>
      </c>
      <c r="N506">
        <v>6</v>
      </c>
      <c r="O506">
        <v>6</v>
      </c>
      <c r="P506" t="s">
        <v>986</v>
      </c>
      <c r="Q506">
        <v>7.2</v>
      </c>
    </row>
    <row r="507" spans="1:17" x14ac:dyDescent="0.25">
      <c r="A507">
        <v>2025</v>
      </c>
      <c r="B507" t="s">
        <v>966</v>
      </c>
      <c r="C507" t="s">
        <v>987</v>
      </c>
      <c r="D507" t="s">
        <v>79</v>
      </c>
      <c r="E507">
        <v>2</v>
      </c>
      <c r="F507">
        <v>4</v>
      </c>
      <c r="G507" t="s">
        <v>314</v>
      </c>
      <c r="H507" t="s">
        <v>105</v>
      </c>
      <c r="I507">
        <v>10.6</v>
      </c>
      <c r="J507">
        <v>8.6</v>
      </c>
      <c r="K507">
        <v>9.6999999999999993</v>
      </c>
      <c r="L507">
        <v>29</v>
      </c>
      <c r="M507">
        <v>229</v>
      </c>
      <c r="N507">
        <v>5</v>
      </c>
      <c r="O507">
        <v>5</v>
      </c>
      <c r="P507" t="s">
        <v>988</v>
      </c>
      <c r="Q507">
        <v>9.6999999999999993</v>
      </c>
    </row>
    <row r="508" spans="1:17" x14ac:dyDescent="0.25">
      <c r="A508">
        <v>2025</v>
      </c>
      <c r="B508" t="s">
        <v>966</v>
      </c>
      <c r="C508" t="s">
        <v>989</v>
      </c>
      <c r="D508" t="s">
        <v>79</v>
      </c>
      <c r="E508">
        <v>3.5</v>
      </c>
      <c r="F508">
        <v>6</v>
      </c>
      <c r="G508" t="s">
        <v>314</v>
      </c>
      <c r="H508" t="s">
        <v>105</v>
      </c>
      <c r="I508">
        <v>11.7</v>
      </c>
      <c r="J508">
        <v>9.3000000000000007</v>
      </c>
      <c r="K508">
        <v>10.6</v>
      </c>
      <c r="L508">
        <v>27</v>
      </c>
      <c r="M508">
        <v>248</v>
      </c>
      <c r="N508">
        <v>5</v>
      </c>
      <c r="O508">
        <v>4</v>
      </c>
      <c r="P508" t="s">
        <v>990</v>
      </c>
      <c r="Q508">
        <v>10.6</v>
      </c>
    </row>
    <row r="509" spans="1:17" x14ac:dyDescent="0.25">
      <c r="A509">
        <v>2025</v>
      </c>
      <c r="B509" t="s">
        <v>966</v>
      </c>
      <c r="C509" t="s">
        <v>991</v>
      </c>
      <c r="D509" t="s">
        <v>83</v>
      </c>
      <c r="E509">
        <v>3.5</v>
      </c>
      <c r="F509">
        <v>6</v>
      </c>
      <c r="G509" t="s">
        <v>314</v>
      </c>
      <c r="H509" t="s">
        <v>73</v>
      </c>
      <c r="I509">
        <v>11.9</v>
      </c>
      <c r="J509">
        <v>10</v>
      </c>
      <c r="K509">
        <v>11.1</v>
      </c>
      <c r="L509">
        <v>25</v>
      </c>
      <c r="M509">
        <v>260</v>
      </c>
      <c r="N509">
        <v>4</v>
      </c>
      <c r="O509">
        <v>4</v>
      </c>
      <c r="P509" t="s">
        <v>992</v>
      </c>
      <c r="Q509">
        <v>11.1</v>
      </c>
    </row>
    <row r="510" spans="1:17" x14ac:dyDescent="0.25">
      <c r="A510">
        <v>2025</v>
      </c>
      <c r="B510" t="s">
        <v>966</v>
      </c>
      <c r="C510" t="s">
        <v>993</v>
      </c>
      <c r="D510" t="s">
        <v>79</v>
      </c>
      <c r="E510">
        <v>1.5</v>
      </c>
      <c r="F510">
        <v>3</v>
      </c>
      <c r="G510" t="s">
        <v>631</v>
      </c>
      <c r="H510" t="s">
        <v>105</v>
      </c>
      <c r="I510">
        <v>7.8</v>
      </c>
      <c r="J510">
        <v>6.5</v>
      </c>
      <c r="K510">
        <v>7.2</v>
      </c>
      <c r="L510">
        <v>39</v>
      </c>
      <c r="M510">
        <v>169</v>
      </c>
      <c r="N510">
        <v>6</v>
      </c>
      <c r="O510">
        <v>5</v>
      </c>
      <c r="P510" t="s">
        <v>994</v>
      </c>
      <c r="Q510">
        <v>7.2</v>
      </c>
    </row>
    <row r="511" spans="1:17" x14ac:dyDescent="0.25">
      <c r="A511">
        <v>2025</v>
      </c>
      <c r="B511" t="s">
        <v>966</v>
      </c>
      <c r="C511" t="s">
        <v>995</v>
      </c>
      <c r="D511" t="s">
        <v>79</v>
      </c>
      <c r="E511">
        <v>1.5</v>
      </c>
      <c r="F511">
        <v>3</v>
      </c>
      <c r="G511" t="s">
        <v>631</v>
      </c>
      <c r="H511" t="s">
        <v>105</v>
      </c>
      <c r="I511">
        <v>8.4</v>
      </c>
      <c r="J511">
        <v>6.7</v>
      </c>
      <c r="K511">
        <v>7.6</v>
      </c>
      <c r="L511">
        <v>37</v>
      </c>
      <c r="M511">
        <v>179</v>
      </c>
      <c r="N511">
        <v>6</v>
      </c>
      <c r="O511">
        <v>5</v>
      </c>
      <c r="P511" t="s">
        <v>996</v>
      </c>
      <c r="Q511">
        <v>7.6</v>
      </c>
    </row>
    <row r="512" spans="1:17" x14ac:dyDescent="0.25">
      <c r="A512">
        <v>2025</v>
      </c>
      <c r="B512" t="s">
        <v>966</v>
      </c>
      <c r="C512" t="s">
        <v>997</v>
      </c>
      <c r="D512" t="s">
        <v>96</v>
      </c>
      <c r="E512">
        <v>2</v>
      </c>
      <c r="F512">
        <v>4</v>
      </c>
      <c r="G512" t="s">
        <v>309</v>
      </c>
      <c r="H512" t="s">
        <v>105</v>
      </c>
      <c r="I512">
        <v>7.3</v>
      </c>
      <c r="J512">
        <v>5.8</v>
      </c>
      <c r="K512">
        <v>6.6</v>
      </c>
      <c r="L512">
        <v>43</v>
      </c>
      <c r="M512">
        <v>156</v>
      </c>
      <c r="N512">
        <v>7</v>
      </c>
      <c r="O512">
        <v>6</v>
      </c>
      <c r="P512" t="s">
        <v>998</v>
      </c>
      <c r="Q512">
        <v>6.6</v>
      </c>
    </row>
    <row r="513" spans="1:17" x14ac:dyDescent="0.25">
      <c r="A513">
        <v>2025</v>
      </c>
      <c r="B513" t="s">
        <v>966</v>
      </c>
      <c r="C513" t="s">
        <v>999</v>
      </c>
      <c r="D513" t="s">
        <v>96</v>
      </c>
      <c r="E513">
        <v>2</v>
      </c>
      <c r="F513">
        <v>4</v>
      </c>
      <c r="G513" t="s">
        <v>309</v>
      </c>
      <c r="H513" t="s">
        <v>105</v>
      </c>
      <c r="I513">
        <v>7.4</v>
      </c>
      <c r="J513">
        <v>6.1</v>
      </c>
      <c r="K513">
        <v>6.9</v>
      </c>
      <c r="L513">
        <v>41</v>
      </c>
      <c r="M513">
        <v>161</v>
      </c>
      <c r="N513">
        <v>7</v>
      </c>
      <c r="O513">
        <v>6</v>
      </c>
      <c r="P513" t="s">
        <v>1000</v>
      </c>
      <c r="Q513">
        <v>6.9</v>
      </c>
    </row>
    <row r="514" spans="1:17" x14ac:dyDescent="0.25">
      <c r="A514">
        <v>2025</v>
      </c>
      <c r="B514" t="s">
        <v>966</v>
      </c>
      <c r="C514" t="s">
        <v>997</v>
      </c>
      <c r="D514" t="s">
        <v>96</v>
      </c>
      <c r="E514">
        <v>2</v>
      </c>
      <c r="F514">
        <v>4</v>
      </c>
      <c r="G514" t="s">
        <v>75</v>
      </c>
      <c r="H514" t="s">
        <v>105</v>
      </c>
      <c r="I514">
        <v>9.4</v>
      </c>
      <c r="J514">
        <v>6.4</v>
      </c>
      <c r="K514">
        <v>8</v>
      </c>
      <c r="L514">
        <v>35</v>
      </c>
      <c r="M514">
        <v>189</v>
      </c>
      <c r="N514">
        <v>6</v>
      </c>
      <c r="O514">
        <v>6</v>
      </c>
      <c r="P514" t="s">
        <v>998</v>
      </c>
      <c r="Q514">
        <v>8</v>
      </c>
    </row>
    <row r="515" spans="1:17" x14ac:dyDescent="0.25">
      <c r="A515">
        <v>2025</v>
      </c>
      <c r="B515" t="s">
        <v>966</v>
      </c>
      <c r="C515" t="s">
        <v>999</v>
      </c>
      <c r="D515" t="s">
        <v>96</v>
      </c>
      <c r="E515">
        <v>2</v>
      </c>
      <c r="F515">
        <v>4</v>
      </c>
      <c r="G515" t="s">
        <v>75</v>
      </c>
      <c r="H515" t="s">
        <v>105</v>
      </c>
      <c r="I515">
        <v>9.5</v>
      </c>
      <c r="J515">
        <v>6.7</v>
      </c>
      <c r="K515">
        <v>8.1999999999999993</v>
      </c>
      <c r="L515">
        <v>34</v>
      </c>
      <c r="M515">
        <v>194</v>
      </c>
      <c r="N515">
        <v>6</v>
      </c>
      <c r="O515">
        <v>6</v>
      </c>
      <c r="P515" t="s">
        <v>1000</v>
      </c>
      <c r="Q515">
        <v>8.1999999999999993</v>
      </c>
    </row>
    <row r="516" spans="1:17" x14ac:dyDescent="0.25">
      <c r="A516">
        <v>2025</v>
      </c>
      <c r="B516" t="s">
        <v>966</v>
      </c>
      <c r="C516" t="s">
        <v>1001</v>
      </c>
      <c r="D516" t="s">
        <v>90</v>
      </c>
      <c r="E516">
        <v>1.6</v>
      </c>
      <c r="F516">
        <v>4</v>
      </c>
      <c r="G516" t="s">
        <v>309</v>
      </c>
      <c r="H516" t="s">
        <v>105</v>
      </c>
      <c r="I516">
        <v>7.5</v>
      </c>
      <c r="J516">
        <v>5.9</v>
      </c>
      <c r="K516">
        <v>6.8</v>
      </c>
      <c r="L516">
        <v>42</v>
      </c>
      <c r="M516">
        <v>159</v>
      </c>
      <c r="N516">
        <v>7</v>
      </c>
      <c r="O516">
        <v>6</v>
      </c>
      <c r="P516" t="s">
        <v>1002</v>
      </c>
      <c r="Q516">
        <v>6.8</v>
      </c>
    </row>
    <row r="517" spans="1:17" x14ac:dyDescent="0.25">
      <c r="A517">
        <v>2025</v>
      </c>
      <c r="B517" t="s">
        <v>966</v>
      </c>
      <c r="C517" t="s">
        <v>1001</v>
      </c>
      <c r="D517" t="s">
        <v>90</v>
      </c>
      <c r="E517">
        <v>1.6</v>
      </c>
      <c r="F517">
        <v>4</v>
      </c>
      <c r="G517" t="s">
        <v>1003</v>
      </c>
      <c r="H517" t="s">
        <v>105</v>
      </c>
      <c r="I517">
        <v>8.6</v>
      </c>
      <c r="J517">
        <v>6.7</v>
      </c>
      <c r="K517">
        <v>7.7</v>
      </c>
      <c r="L517">
        <v>37</v>
      </c>
      <c r="M517">
        <v>181</v>
      </c>
      <c r="N517">
        <v>6</v>
      </c>
      <c r="O517">
        <v>6</v>
      </c>
      <c r="P517" t="s">
        <v>1002</v>
      </c>
      <c r="Q517">
        <v>7.7</v>
      </c>
    </row>
    <row r="518" spans="1:17" x14ac:dyDescent="0.25">
      <c r="A518">
        <v>2025</v>
      </c>
      <c r="B518" t="s">
        <v>966</v>
      </c>
      <c r="C518" t="s">
        <v>73</v>
      </c>
      <c r="D518" t="s">
        <v>114</v>
      </c>
      <c r="E518">
        <v>3</v>
      </c>
      <c r="F518">
        <v>6</v>
      </c>
      <c r="G518" t="s">
        <v>314</v>
      </c>
      <c r="H518" t="s">
        <v>73</v>
      </c>
      <c r="I518">
        <v>12.3</v>
      </c>
      <c r="J518">
        <v>8.6</v>
      </c>
      <c r="K518">
        <v>10.6</v>
      </c>
      <c r="L518">
        <v>27</v>
      </c>
      <c r="M518">
        <v>250</v>
      </c>
      <c r="N518">
        <v>5</v>
      </c>
      <c r="O518">
        <v>4</v>
      </c>
      <c r="P518" t="s">
        <v>1004</v>
      </c>
      <c r="Q518">
        <v>10.6</v>
      </c>
    </row>
    <row r="519" spans="1:17" x14ac:dyDescent="0.25">
      <c r="A519">
        <v>2025</v>
      </c>
      <c r="B519" t="s">
        <v>966</v>
      </c>
      <c r="C519" t="s">
        <v>73</v>
      </c>
      <c r="D519" t="s">
        <v>114</v>
      </c>
      <c r="E519">
        <v>3</v>
      </c>
      <c r="F519">
        <v>6</v>
      </c>
      <c r="G519" t="s">
        <v>75</v>
      </c>
      <c r="H519" t="s">
        <v>73</v>
      </c>
      <c r="I519">
        <v>13.4</v>
      </c>
      <c r="J519">
        <v>10</v>
      </c>
      <c r="K519">
        <v>11.9</v>
      </c>
      <c r="L519">
        <v>24</v>
      </c>
      <c r="M519">
        <v>280</v>
      </c>
      <c r="N519">
        <v>4</v>
      </c>
      <c r="O519">
        <v>4</v>
      </c>
      <c r="P519" t="s">
        <v>1004</v>
      </c>
      <c r="Q519">
        <v>11.9</v>
      </c>
    </row>
    <row r="520" spans="1:17" x14ac:dyDescent="0.25">
      <c r="A520">
        <v>2025</v>
      </c>
      <c r="B520" t="s">
        <v>966</v>
      </c>
      <c r="C520" t="s">
        <v>1005</v>
      </c>
      <c r="D520" t="s">
        <v>114</v>
      </c>
      <c r="E520">
        <v>3</v>
      </c>
      <c r="F520">
        <v>6</v>
      </c>
      <c r="G520" t="s">
        <v>314</v>
      </c>
      <c r="H520" t="s">
        <v>73</v>
      </c>
      <c r="I520">
        <v>14.1</v>
      </c>
      <c r="J520">
        <v>9.9</v>
      </c>
      <c r="K520">
        <v>12.2</v>
      </c>
      <c r="L520">
        <v>23</v>
      </c>
      <c r="M520">
        <v>287</v>
      </c>
      <c r="N520">
        <v>4</v>
      </c>
      <c r="O520">
        <v>4</v>
      </c>
      <c r="P520" t="s">
        <v>1006</v>
      </c>
      <c r="Q520">
        <v>12.2</v>
      </c>
    </row>
    <row r="521" spans="1:17" x14ac:dyDescent="0.25">
      <c r="A521">
        <v>2025</v>
      </c>
      <c r="B521" t="s">
        <v>1007</v>
      </c>
      <c r="C521" t="s">
        <v>1008</v>
      </c>
      <c r="D521" t="s">
        <v>114</v>
      </c>
      <c r="E521">
        <v>2</v>
      </c>
      <c r="F521">
        <v>4</v>
      </c>
      <c r="G521" t="s">
        <v>119</v>
      </c>
      <c r="H521" t="s">
        <v>73</v>
      </c>
      <c r="I521">
        <v>11</v>
      </c>
      <c r="J521">
        <v>8.6999999999999993</v>
      </c>
      <c r="K521">
        <v>10</v>
      </c>
      <c r="L521">
        <v>28</v>
      </c>
      <c r="M521">
        <v>233</v>
      </c>
      <c r="N521">
        <v>5</v>
      </c>
      <c r="O521">
        <v>1</v>
      </c>
      <c r="P521" t="s">
        <v>1009</v>
      </c>
      <c r="Q521">
        <v>10</v>
      </c>
    </row>
    <row r="522" spans="1:17" x14ac:dyDescent="0.25">
      <c r="A522">
        <v>2025</v>
      </c>
      <c r="B522" t="s">
        <v>1007</v>
      </c>
      <c r="C522" t="s">
        <v>1008</v>
      </c>
      <c r="D522" t="s">
        <v>114</v>
      </c>
      <c r="E522">
        <v>2</v>
      </c>
      <c r="F522">
        <v>4</v>
      </c>
      <c r="G522" t="s">
        <v>75</v>
      </c>
      <c r="H522" t="s">
        <v>73</v>
      </c>
      <c r="I522">
        <v>12</v>
      </c>
      <c r="J522">
        <v>9.5</v>
      </c>
      <c r="K522">
        <v>10.9</v>
      </c>
      <c r="L522">
        <v>26</v>
      </c>
      <c r="M522">
        <v>254</v>
      </c>
      <c r="N522">
        <v>5</v>
      </c>
      <c r="O522">
        <v>1</v>
      </c>
      <c r="P522" t="s">
        <v>1009</v>
      </c>
      <c r="Q522">
        <v>10.9</v>
      </c>
    </row>
    <row r="523" spans="1:17" x14ac:dyDescent="0.25">
      <c r="A523">
        <v>2025</v>
      </c>
      <c r="B523" t="s">
        <v>1007</v>
      </c>
      <c r="C523" t="s">
        <v>1010</v>
      </c>
      <c r="D523" t="s">
        <v>114</v>
      </c>
      <c r="E523">
        <v>2.5</v>
      </c>
      <c r="F523">
        <v>4</v>
      </c>
      <c r="G523" t="s">
        <v>119</v>
      </c>
      <c r="H523" t="s">
        <v>73</v>
      </c>
      <c r="I523">
        <v>12.2</v>
      </c>
      <c r="J523">
        <v>9.1999999999999993</v>
      </c>
      <c r="K523">
        <v>10.9</v>
      </c>
      <c r="L523">
        <v>26</v>
      </c>
      <c r="M523">
        <v>255</v>
      </c>
      <c r="N523">
        <v>5</v>
      </c>
      <c r="O523">
        <v>1</v>
      </c>
      <c r="P523" t="s">
        <v>1011</v>
      </c>
      <c r="Q523">
        <v>10.9</v>
      </c>
    </row>
    <row r="524" spans="1:17" x14ac:dyDescent="0.25">
      <c r="A524">
        <v>2025</v>
      </c>
      <c r="B524" t="s">
        <v>1007</v>
      </c>
      <c r="C524" t="s">
        <v>1010</v>
      </c>
      <c r="D524" t="s">
        <v>114</v>
      </c>
      <c r="E524">
        <v>2.5</v>
      </c>
      <c r="F524">
        <v>4</v>
      </c>
      <c r="G524" t="s">
        <v>75</v>
      </c>
      <c r="H524" t="s">
        <v>73</v>
      </c>
      <c r="I524">
        <v>12.5</v>
      </c>
      <c r="J524">
        <v>9.6</v>
      </c>
      <c r="K524">
        <v>11.2</v>
      </c>
      <c r="L524">
        <v>25</v>
      </c>
      <c r="M524">
        <v>263</v>
      </c>
      <c r="N524">
        <v>4</v>
      </c>
      <c r="O524">
        <v>1</v>
      </c>
      <c r="P524" t="s">
        <v>1011</v>
      </c>
      <c r="Q524">
        <v>11.2</v>
      </c>
    </row>
    <row r="525" spans="1:17" x14ac:dyDescent="0.25">
      <c r="A525">
        <v>2025</v>
      </c>
      <c r="B525" t="s">
        <v>1007</v>
      </c>
      <c r="C525" t="s">
        <v>1012</v>
      </c>
      <c r="D525" t="s">
        <v>114</v>
      </c>
      <c r="E525">
        <v>4</v>
      </c>
      <c r="F525">
        <v>6</v>
      </c>
      <c r="G525" t="s">
        <v>119</v>
      </c>
      <c r="H525" t="s">
        <v>73</v>
      </c>
      <c r="I525">
        <v>12.3</v>
      </c>
      <c r="J525">
        <v>9.8000000000000007</v>
      </c>
      <c r="K525">
        <v>11.1</v>
      </c>
      <c r="L525">
        <v>25</v>
      </c>
      <c r="M525">
        <v>260</v>
      </c>
      <c r="N525">
        <v>4</v>
      </c>
      <c r="O525">
        <v>4</v>
      </c>
      <c r="P525" t="s">
        <v>1013</v>
      </c>
      <c r="Q525">
        <v>11.1</v>
      </c>
    </row>
    <row r="526" spans="1:17" x14ac:dyDescent="0.25">
      <c r="A526">
        <v>2025</v>
      </c>
      <c r="B526" t="s">
        <v>1007</v>
      </c>
      <c r="C526" t="s">
        <v>1012</v>
      </c>
      <c r="D526" t="s">
        <v>114</v>
      </c>
      <c r="E526">
        <v>4</v>
      </c>
      <c r="F526">
        <v>6</v>
      </c>
      <c r="G526" t="s">
        <v>75</v>
      </c>
      <c r="H526" t="s">
        <v>73</v>
      </c>
      <c r="I526">
        <v>14</v>
      </c>
      <c r="J526">
        <v>10</v>
      </c>
      <c r="K526">
        <v>12.2</v>
      </c>
      <c r="L526">
        <v>23</v>
      </c>
      <c r="M526">
        <v>284</v>
      </c>
      <c r="N526">
        <v>4</v>
      </c>
      <c r="O526">
        <v>4</v>
      </c>
      <c r="P526" t="s">
        <v>1013</v>
      </c>
      <c r="Q526">
        <v>12.2</v>
      </c>
    </row>
    <row r="527" spans="1:17" x14ac:dyDescent="0.25">
      <c r="A527">
        <v>2025</v>
      </c>
      <c r="B527" t="s">
        <v>1007</v>
      </c>
      <c r="C527" t="s">
        <v>1014</v>
      </c>
      <c r="D527" t="s">
        <v>114</v>
      </c>
      <c r="E527">
        <v>2</v>
      </c>
      <c r="F527">
        <v>4</v>
      </c>
      <c r="G527" t="s">
        <v>119</v>
      </c>
      <c r="H527" t="s">
        <v>73</v>
      </c>
      <c r="I527">
        <v>11</v>
      </c>
      <c r="J527">
        <v>8.6999999999999993</v>
      </c>
      <c r="K527">
        <v>10</v>
      </c>
      <c r="L527">
        <v>28</v>
      </c>
      <c r="M527">
        <v>233</v>
      </c>
      <c r="N527">
        <v>5</v>
      </c>
      <c r="O527">
        <v>1</v>
      </c>
      <c r="P527" t="s">
        <v>1015</v>
      </c>
      <c r="Q527">
        <v>10</v>
      </c>
    </row>
    <row r="528" spans="1:17" x14ac:dyDescent="0.25">
      <c r="A528">
        <v>2025</v>
      </c>
      <c r="B528" t="s">
        <v>1007</v>
      </c>
      <c r="C528" t="s">
        <v>1014</v>
      </c>
      <c r="D528" t="s">
        <v>114</v>
      </c>
      <c r="E528">
        <v>2</v>
      </c>
      <c r="F528">
        <v>4</v>
      </c>
      <c r="G528" t="s">
        <v>75</v>
      </c>
      <c r="H528" t="s">
        <v>73</v>
      </c>
      <c r="I528">
        <v>12</v>
      </c>
      <c r="J528">
        <v>9.5</v>
      </c>
      <c r="K528">
        <v>10.9</v>
      </c>
      <c r="L528">
        <v>26</v>
      </c>
      <c r="M528">
        <v>254</v>
      </c>
      <c r="N528">
        <v>5</v>
      </c>
      <c r="O528">
        <v>1</v>
      </c>
      <c r="P528" t="s">
        <v>1015</v>
      </c>
      <c r="Q528">
        <v>10.9</v>
      </c>
    </row>
    <row r="529" spans="1:17" x14ac:dyDescent="0.25">
      <c r="A529">
        <v>2025</v>
      </c>
      <c r="B529" t="s">
        <v>1007</v>
      </c>
      <c r="C529" t="s">
        <v>1016</v>
      </c>
      <c r="D529" t="s">
        <v>114</v>
      </c>
      <c r="E529">
        <v>2.5</v>
      </c>
      <c r="F529">
        <v>4</v>
      </c>
      <c r="G529" t="s">
        <v>119</v>
      </c>
      <c r="H529" t="s">
        <v>73</v>
      </c>
      <c r="I529">
        <v>12.2</v>
      </c>
      <c r="J529">
        <v>9.1999999999999993</v>
      </c>
      <c r="K529">
        <v>10.9</v>
      </c>
      <c r="L529">
        <v>26</v>
      </c>
      <c r="M529">
        <v>255</v>
      </c>
      <c r="N529">
        <v>5</v>
      </c>
      <c r="O529">
        <v>1</v>
      </c>
      <c r="P529" t="s">
        <v>1017</v>
      </c>
      <c r="Q529">
        <v>10.9</v>
      </c>
    </row>
    <row r="530" spans="1:17" x14ac:dyDescent="0.25">
      <c r="A530">
        <v>2025</v>
      </c>
      <c r="B530" t="s">
        <v>1007</v>
      </c>
      <c r="C530" t="s">
        <v>1016</v>
      </c>
      <c r="D530" t="s">
        <v>114</v>
      </c>
      <c r="E530">
        <v>2.5</v>
      </c>
      <c r="F530">
        <v>4</v>
      </c>
      <c r="G530" t="s">
        <v>75</v>
      </c>
      <c r="H530" t="s">
        <v>73</v>
      </c>
      <c r="I530">
        <v>12.5</v>
      </c>
      <c r="J530">
        <v>9.6</v>
      </c>
      <c r="K530">
        <v>11.2</v>
      </c>
      <c r="L530">
        <v>25</v>
      </c>
      <c r="M530">
        <v>263</v>
      </c>
      <c r="N530">
        <v>4</v>
      </c>
      <c r="O530">
        <v>1</v>
      </c>
      <c r="P530" t="s">
        <v>1017</v>
      </c>
      <c r="Q530">
        <v>11.2</v>
      </c>
    </row>
    <row r="531" spans="1:17" x14ac:dyDescent="0.25">
      <c r="A531">
        <v>2025</v>
      </c>
      <c r="B531" t="s">
        <v>1007</v>
      </c>
      <c r="C531" t="s">
        <v>1018</v>
      </c>
      <c r="D531" t="s">
        <v>114</v>
      </c>
      <c r="E531">
        <v>4</v>
      </c>
      <c r="F531">
        <v>6</v>
      </c>
      <c r="G531" t="s">
        <v>119</v>
      </c>
      <c r="H531" t="s">
        <v>73</v>
      </c>
      <c r="I531">
        <v>12.3</v>
      </c>
      <c r="J531">
        <v>9.8000000000000007</v>
      </c>
      <c r="K531">
        <v>11.1</v>
      </c>
      <c r="L531">
        <v>25</v>
      </c>
      <c r="M531">
        <v>260</v>
      </c>
      <c r="N531">
        <v>4</v>
      </c>
      <c r="O531">
        <v>4</v>
      </c>
      <c r="P531" t="s">
        <v>1019</v>
      </c>
      <c r="Q531">
        <v>11.1</v>
      </c>
    </row>
    <row r="532" spans="1:17" x14ac:dyDescent="0.25">
      <c r="A532">
        <v>2025</v>
      </c>
      <c r="B532" t="s">
        <v>1007</v>
      </c>
      <c r="C532" t="s">
        <v>1018</v>
      </c>
      <c r="D532" t="s">
        <v>114</v>
      </c>
      <c r="E532">
        <v>4</v>
      </c>
      <c r="F532">
        <v>6</v>
      </c>
      <c r="G532" t="s">
        <v>75</v>
      </c>
      <c r="H532" t="s">
        <v>73</v>
      </c>
      <c r="I532">
        <v>14</v>
      </c>
      <c r="J532">
        <v>10</v>
      </c>
      <c r="K532">
        <v>12.2</v>
      </c>
      <c r="L532">
        <v>23</v>
      </c>
      <c r="M532">
        <v>284</v>
      </c>
      <c r="N532">
        <v>4</v>
      </c>
      <c r="O532">
        <v>4</v>
      </c>
      <c r="P532" t="s">
        <v>1019</v>
      </c>
      <c r="Q532">
        <v>12.2</v>
      </c>
    </row>
    <row r="533" spans="1:17" x14ac:dyDescent="0.25">
      <c r="A533">
        <v>2025</v>
      </c>
      <c r="B533" t="s">
        <v>1007</v>
      </c>
      <c r="C533" t="s">
        <v>1020</v>
      </c>
      <c r="D533" t="s">
        <v>109</v>
      </c>
      <c r="E533">
        <v>3</v>
      </c>
      <c r="F533">
        <v>6</v>
      </c>
      <c r="G533" t="s">
        <v>426</v>
      </c>
      <c r="H533" t="s">
        <v>73</v>
      </c>
      <c r="I533">
        <v>12.9</v>
      </c>
      <c r="J533">
        <v>9.1999999999999993</v>
      </c>
      <c r="K533">
        <v>11.3</v>
      </c>
      <c r="L533">
        <v>25</v>
      </c>
      <c r="M533">
        <v>263</v>
      </c>
      <c r="N533">
        <v>4</v>
      </c>
      <c r="O533">
        <v>4</v>
      </c>
      <c r="P533" t="s">
        <v>1021</v>
      </c>
      <c r="Q533">
        <v>11.3</v>
      </c>
    </row>
    <row r="534" spans="1:17" x14ac:dyDescent="0.25">
      <c r="A534">
        <v>2025</v>
      </c>
      <c r="B534" t="s">
        <v>1007</v>
      </c>
      <c r="C534" t="s">
        <v>1022</v>
      </c>
      <c r="D534" t="s">
        <v>109</v>
      </c>
      <c r="E534">
        <v>3</v>
      </c>
      <c r="F534">
        <v>6</v>
      </c>
      <c r="G534" t="s">
        <v>426</v>
      </c>
      <c r="H534" t="s">
        <v>73</v>
      </c>
      <c r="I534">
        <v>13</v>
      </c>
      <c r="J534">
        <v>9.4</v>
      </c>
      <c r="K534">
        <v>11.4</v>
      </c>
      <c r="L534">
        <v>25</v>
      </c>
      <c r="M534">
        <v>264</v>
      </c>
      <c r="N534">
        <v>4</v>
      </c>
      <c r="O534">
        <v>4</v>
      </c>
      <c r="P534" t="s">
        <v>1023</v>
      </c>
      <c r="Q534">
        <v>11.4</v>
      </c>
    </row>
    <row r="535" spans="1:17" x14ac:dyDescent="0.25">
      <c r="A535">
        <v>2025</v>
      </c>
      <c r="B535" t="s">
        <v>1007</v>
      </c>
      <c r="C535" t="s">
        <v>1024</v>
      </c>
      <c r="D535" t="s">
        <v>114</v>
      </c>
      <c r="E535">
        <v>4</v>
      </c>
      <c r="F535">
        <v>6</v>
      </c>
      <c r="G535" t="s">
        <v>119</v>
      </c>
      <c r="H535" t="s">
        <v>73</v>
      </c>
      <c r="I535">
        <v>16.8</v>
      </c>
      <c r="J535">
        <v>13</v>
      </c>
      <c r="K535">
        <v>15.1</v>
      </c>
      <c r="L535">
        <v>19</v>
      </c>
      <c r="M535">
        <v>354</v>
      </c>
      <c r="N535">
        <v>3</v>
      </c>
      <c r="O535">
        <v>2</v>
      </c>
      <c r="P535" t="s">
        <v>1025</v>
      </c>
      <c r="Q535">
        <v>15.1</v>
      </c>
    </row>
    <row r="536" spans="1:17" x14ac:dyDescent="0.25">
      <c r="A536">
        <v>2025</v>
      </c>
      <c r="B536" t="s">
        <v>1007</v>
      </c>
      <c r="C536" t="s">
        <v>1026</v>
      </c>
      <c r="D536" t="s">
        <v>109</v>
      </c>
      <c r="E536">
        <v>3.7</v>
      </c>
      <c r="F536">
        <v>6</v>
      </c>
      <c r="G536" t="s">
        <v>426</v>
      </c>
      <c r="H536" t="s">
        <v>73</v>
      </c>
      <c r="I536">
        <v>16.5</v>
      </c>
      <c r="J536">
        <v>11.4</v>
      </c>
      <c r="K536">
        <v>14.2</v>
      </c>
      <c r="L536">
        <v>20</v>
      </c>
      <c r="M536">
        <v>332</v>
      </c>
      <c r="N536">
        <v>3</v>
      </c>
      <c r="O536">
        <v>4</v>
      </c>
      <c r="P536" t="s">
        <v>1027</v>
      </c>
      <c r="Q536">
        <v>14.2</v>
      </c>
    </row>
    <row r="537" spans="1:17" x14ac:dyDescent="0.25">
      <c r="A537">
        <v>2025</v>
      </c>
      <c r="B537" t="s">
        <v>1007</v>
      </c>
      <c r="C537" t="s">
        <v>1028</v>
      </c>
      <c r="D537" t="s">
        <v>109</v>
      </c>
      <c r="E537">
        <v>3.7</v>
      </c>
      <c r="F537">
        <v>6</v>
      </c>
      <c r="G537" t="s">
        <v>426</v>
      </c>
      <c r="H537" t="s">
        <v>73</v>
      </c>
      <c r="I537">
        <v>16.899999999999999</v>
      </c>
      <c r="J537">
        <v>11.5</v>
      </c>
      <c r="K537">
        <v>14.5</v>
      </c>
      <c r="L537">
        <v>19</v>
      </c>
      <c r="M537">
        <v>339</v>
      </c>
      <c r="N537">
        <v>3</v>
      </c>
      <c r="O537">
        <v>4</v>
      </c>
      <c r="P537" t="s">
        <v>1029</v>
      </c>
      <c r="Q537">
        <v>14.5</v>
      </c>
    </row>
    <row r="538" spans="1:17" x14ac:dyDescent="0.25">
      <c r="A538">
        <v>2025</v>
      </c>
      <c r="B538" t="s">
        <v>1007</v>
      </c>
      <c r="C538" t="s">
        <v>1030</v>
      </c>
      <c r="D538" t="s">
        <v>109</v>
      </c>
      <c r="E538">
        <v>3.7</v>
      </c>
      <c r="F538">
        <v>6</v>
      </c>
      <c r="G538" t="s">
        <v>426</v>
      </c>
      <c r="H538" t="s">
        <v>73</v>
      </c>
      <c r="I538">
        <v>16.600000000000001</v>
      </c>
      <c r="J538">
        <v>11.8</v>
      </c>
      <c r="K538">
        <v>14.4</v>
      </c>
      <c r="L538">
        <v>20</v>
      </c>
      <c r="M538">
        <v>332</v>
      </c>
      <c r="N538">
        <v>3</v>
      </c>
      <c r="O538">
        <v>4</v>
      </c>
      <c r="P538" t="s">
        <v>1031</v>
      </c>
      <c r="Q538">
        <v>14.4</v>
      </c>
    </row>
    <row r="539" spans="1:17" x14ac:dyDescent="0.25">
      <c r="A539">
        <v>2025</v>
      </c>
      <c r="B539" t="s">
        <v>1007</v>
      </c>
      <c r="C539" t="s">
        <v>1032</v>
      </c>
      <c r="D539" t="s">
        <v>109</v>
      </c>
      <c r="E539">
        <v>3.7</v>
      </c>
      <c r="F539">
        <v>6</v>
      </c>
      <c r="G539" t="s">
        <v>426</v>
      </c>
      <c r="H539" t="s">
        <v>73</v>
      </c>
      <c r="I539">
        <v>16.7</v>
      </c>
      <c r="J539">
        <v>11.8</v>
      </c>
      <c r="K539">
        <v>14.5</v>
      </c>
      <c r="L539">
        <v>19</v>
      </c>
      <c r="M539">
        <v>336</v>
      </c>
      <c r="N539">
        <v>3</v>
      </c>
      <c r="O539">
        <v>4</v>
      </c>
      <c r="P539" t="s">
        <v>1033</v>
      </c>
      <c r="Q539">
        <v>14.5</v>
      </c>
    </row>
    <row r="540" spans="1:17" x14ac:dyDescent="0.25">
      <c r="A540">
        <v>2025</v>
      </c>
      <c r="B540" t="s">
        <v>1007</v>
      </c>
      <c r="C540" t="s">
        <v>1034</v>
      </c>
      <c r="D540" t="s">
        <v>83</v>
      </c>
      <c r="E540">
        <v>3</v>
      </c>
      <c r="F540">
        <v>6</v>
      </c>
      <c r="G540" t="s">
        <v>142</v>
      </c>
      <c r="H540" t="s">
        <v>73</v>
      </c>
      <c r="I540">
        <v>13.8</v>
      </c>
      <c r="J540">
        <v>10.199999999999999</v>
      </c>
      <c r="K540">
        <v>12.2</v>
      </c>
      <c r="L540">
        <v>23</v>
      </c>
      <c r="M540">
        <v>291</v>
      </c>
      <c r="N540">
        <v>4</v>
      </c>
      <c r="O540">
        <v>4</v>
      </c>
      <c r="P540" t="s">
        <v>1035</v>
      </c>
      <c r="Q540">
        <v>12.2</v>
      </c>
    </row>
    <row r="541" spans="1:17" x14ac:dyDescent="0.25">
      <c r="A541">
        <v>2025</v>
      </c>
      <c r="B541" t="s">
        <v>1007</v>
      </c>
      <c r="C541" t="s">
        <v>1036</v>
      </c>
      <c r="D541" t="s">
        <v>83</v>
      </c>
      <c r="E541">
        <v>3</v>
      </c>
      <c r="F541">
        <v>6</v>
      </c>
      <c r="G541" t="s">
        <v>142</v>
      </c>
      <c r="H541" t="s">
        <v>73</v>
      </c>
      <c r="I541">
        <v>13.8</v>
      </c>
      <c r="J541">
        <v>10.199999999999999</v>
      </c>
      <c r="K541">
        <v>12.2</v>
      </c>
      <c r="L541">
        <v>23</v>
      </c>
      <c r="M541">
        <v>291</v>
      </c>
      <c r="N541">
        <v>4</v>
      </c>
      <c r="O541">
        <v>4</v>
      </c>
      <c r="P541" t="s">
        <v>1037</v>
      </c>
      <c r="Q541">
        <v>12.2</v>
      </c>
    </row>
    <row r="542" spans="1:17" x14ac:dyDescent="0.25">
      <c r="A542">
        <v>2025</v>
      </c>
      <c r="B542" t="s">
        <v>1007</v>
      </c>
      <c r="C542" t="s">
        <v>1038</v>
      </c>
      <c r="D542" t="s">
        <v>83</v>
      </c>
      <c r="E542">
        <v>4</v>
      </c>
      <c r="F542">
        <v>8</v>
      </c>
      <c r="G542" t="s">
        <v>142</v>
      </c>
      <c r="H542" t="s">
        <v>73</v>
      </c>
      <c r="I542">
        <v>15.3</v>
      </c>
      <c r="J542">
        <v>11.2</v>
      </c>
      <c r="K542">
        <v>13.5</v>
      </c>
      <c r="L542">
        <v>21</v>
      </c>
      <c r="M542">
        <v>324</v>
      </c>
      <c r="N542">
        <v>3</v>
      </c>
      <c r="O542">
        <v>4</v>
      </c>
      <c r="P542" t="s">
        <v>1039</v>
      </c>
      <c r="Q542">
        <v>13.5</v>
      </c>
    </row>
    <row r="543" spans="1:17" x14ac:dyDescent="0.25">
      <c r="A543">
        <v>2025</v>
      </c>
      <c r="B543" t="s">
        <v>1007</v>
      </c>
      <c r="C543" t="s">
        <v>1040</v>
      </c>
      <c r="D543" t="s">
        <v>83</v>
      </c>
      <c r="E543">
        <v>4</v>
      </c>
      <c r="F543">
        <v>8</v>
      </c>
      <c r="G543" t="s">
        <v>142</v>
      </c>
      <c r="H543" t="s">
        <v>73</v>
      </c>
      <c r="I543">
        <v>15.7</v>
      </c>
      <c r="J543">
        <v>11</v>
      </c>
      <c r="K543">
        <v>13.6</v>
      </c>
      <c r="L543">
        <v>21</v>
      </c>
      <c r="M543">
        <v>324</v>
      </c>
      <c r="N543">
        <v>3</v>
      </c>
      <c r="O543">
        <v>4</v>
      </c>
      <c r="P543" t="s">
        <v>1041</v>
      </c>
      <c r="Q543">
        <v>13.6</v>
      </c>
    </row>
    <row r="544" spans="1:17" x14ac:dyDescent="0.25">
      <c r="A544">
        <v>2025</v>
      </c>
      <c r="B544" t="s">
        <v>1007</v>
      </c>
      <c r="C544" t="s">
        <v>1042</v>
      </c>
      <c r="D544" t="s">
        <v>83</v>
      </c>
      <c r="E544">
        <v>4</v>
      </c>
      <c r="F544">
        <v>8</v>
      </c>
      <c r="G544" t="s">
        <v>142</v>
      </c>
      <c r="H544" t="s">
        <v>73</v>
      </c>
      <c r="I544">
        <v>15.5</v>
      </c>
      <c r="J544">
        <v>11.8</v>
      </c>
      <c r="K544">
        <v>13.8</v>
      </c>
      <c r="L544">
        <v>20</v>
      </c>
      <c r="M544">
        <v>324</v>
      </c>
      <c r="N544">
        <v>3</v>
      </c>
      <c r="O544">
        <v>2</v>
      </c>
      <c r="P544" t="s">
        <v>1043</v>
      </c>
      <c r="Q544">
        <v>13.8</v>
      </c>
    </row>
    <row r="545" spans="1:17" x14ac:dyDescent="0.25">
      <c r="A545">
        <v>2025</v>
      </c>
      <c r="B545" t="s">
        <v>1007</v>
      </c>
      <c r="C545" t="s">
        <v>1044</v>
      </c>
      <c r="D545" t="s">
        <v>79</v>
      </c>
      <c r="E545">
        <v>2</v>
      </c>
      <c r="F545">
        <v>4</v>
      </c>
      <c r="G545" t="s">
        <v>119</v>
      </c>
      <c r="H545" t="s">
        <v>73</v>
      </c>
      <c r="I545">
        <v>12.4</v>
      </c>
      <c r="J545">
        <v>9.3000000000000007</v>
      </c>
      <c r="K545">
        <v>11</v>
      </c>
      <c r="L545">
        <v>26</v>
      </c>
      <c r="M545">
        <v>263</v>
      </c>
      <c r="N545">
        <v>4</v>
      </c>
      <c r="O545">
        <v>4</v>
      </c>
      <c r="P545" t="s">
        <v>1045</v>
      </c>
      <c r="Q545">
        <v>11</v>
      </c>
    </row>
    <row r="546" spans="1:17" x14ac:dyDescent="0.25">
      <c r="A546">
        <v>2025</v>
      </c>
      <c r="B546" t="s">
        <v>1007</v>
      </c>
      <c r="C546" t="s">
        <v>1046</v>
      </c>
      <c r="D546" t="s">
        <v>79</v>
      </c>
      <c r="E546">
        <v>2</v>
      </c>
      <c r="F546">
        <v>4</v>
      </c>
      <c r="G546" t="s">
        <v>119</v>
      </c>
      <c r="H546" t="s">
        <v>73</v>
      </c>
      <c r="I546">
        <v>12.2</v>
      </c>
      <c r="J546">
        <v>9.6</v>
      </c>
      <c r="K546">
        <v>11</v>
      </c>
      <c r="L546">
        <v>26</v>
      </c>
      <c r="M546">
        <v>259</v>
      </c>
      <c r="N546">
        <v>4</v>
      </c>
      <c r="O546">
        <v>4</v>
      </c>
      <c r="P546" t="s">
        <v>1047</v>
      </c>
      <c r="Q546">
        <v>11</v>
      </c>
    </row>
    <row r="547" spans="1:17" x14ac:dyDescent="0.25">
      <c r="A547">
        <v>2025</v>
      </c>
      <c r="B547" t="s">
        <v>1007</v>
      </c>
      <c r="C547" t="s">
        <v>1048</v>
      </c>
      <c r="D547" t="s">
        <v>79</v>
      </c>
      <c r="E547">
        <v>2.9</v>
      </c>
      <c r="F547">
        <v>6</v>
      </c>
      <c r="G547" t="s">
        <v>119</v>
      </c>
      <c r="H547" t="s">
        <v>73</v>
      </c>
      <c r="I547">
        <v>13.8</v>
      </c>
      <c r="J547">
        <v>10.1</v>
      </c>
      <c r="K547">
        <v>12.2</v>
      </c>
      <c r="L547">
        <v>23</v>
      </c>
      <c r="M547">
        <v>289</v>
      </c>
      <c r="N547">
        <v>4</v>
      </c>
      <c r="O547">
        <v>4</v>
      </c>
      <c r="P547" t="s">
        <v>1049</v>
      </c>
      <c r="Q547">
        <v>12.2</v>
      </c>
    </row>
    <row r="548" spans="1:17" x14ac:dyDescent="0.25">
      <c r="A548">
        <v>2025</v>
      </c>
      <c r="B548" t="s">
        <v>1007</v>
      </c>
      <c r="C548" t="s">
        <v>1050</v>
      </c>
      <c r="D548" t="s">
        <v>79</v>
      </c>
      <c r="E548">
        <v>2.9</v>
      </c>
      <c r="F548">
        <v>6</v>
      </c>
      <c r="G548" t="s">
        <v>119</v>
      </c>
      <c r="H548" t="s">
        <v>73</v>
      </c>
      <c r="I548">
        <v>13.5</v>
      </c>
      <c r="J548">
        <v>10.7</v>
      </c>
      <c r="K548">
        <v>12.2</v>
      </c>
      <c r="L548">
        <v>23</v>
      </c>
      <c r="M548">
        <v>290</v>
      </c>
      <c r="N548">
        <v>4</v>
      </c>
      <c r="O548">
        <v>4</v>
      </c>
      <c r="P548" t="s">
        <v>1051</v>
      </c>
      <c r="Q548">
        <v>12.2</v>
      </c>
    </row>
    <row r="549" spans="1:17" x14ac:dyDescent="0.25">
      <c r="A549">
        <v>2025</v>
      </c>
      <c r="B549" t="s">
        <v>1007</v>
      </c>
      <c r="C549" t="s">
        <v>1052</v>
      </c>
      <c r="D549" t="s">
        <v>71</v>
      </c>
      <c r="E549">
        <v>2.9</v>
      </c>
      <c r="F549">
        <v>6</v>
      </c>
      <c r="G549" t="s">
        <v>426</v>
      </c>
      <c r="H549" t="s">
        <v>73</v>
      </c>
      <c r="I549">
        <v>13.1</v>
      </c>
      <c r="J549">
        <v>9.4</v>
      </c>
      <c r="K549">
        <v>11.4</v>
      </c>
      <c r="L549">
        <v>25</v>
      </c>
      <c r="M549">
        <v>268</v>
      </c>
      <c r="N549">
        <v>4</v>
      </c>
      <c r="O549">
        <v>4</v>
      </c>
      <c r="P549" t="s">
        <v>1053</v>
      </c>
      <c r="Q549">
        <v>11.4</v>
      </c>
    </row>
    <row r="550" spans="1:17" x14ac:dyDescent="0.25">
      <c r="A550">
        <v>2025</v>
      </c>
      <c r="B550" t="s">
        <v>1007</v>
      </c>
      <c r="C550" t="s">
        <v>1054</v>
      </c>
      <c r="D550" t="s">
        <v>71</v>
      </c>
      <c r="E550">
        <v>2.9</v>
      </c>
      <c r="F550">
        <v>6</v>
      </c>
      <c r="G550" t="s">
        <v>426</v>
      </c>
      <c r="H550" t="s">
        <v>73</v>
      </c>
      <c r="I550">
        <v>13.1</v>
      </c>
      <c r="J550">
        <v>9.4</v>
      </c>
      <c r="K550">
        <v>11.4</v>
      </c>
      <c r="L550">
        <v>25</v>
      </c>
      <c r="M550">
        <v>264</v>
      </c>
      <c r="N550">
        <v>4</v>
      </c>
      <c r="O550">
        <v>4</v>
      </c>
      <c r="P550" t="s">
        <v>1055</v>
      </c>
      <c r="Q550">
        <v>11.4</v>
      </c>
    </row>
    <row r="551" spans="1:17" x14ac:dyDescent="0.25">
      <c r="A551">
        <v>2025</v>
      </c>
      <c r="B551" t="s">
        <v>1007</v>
      </c>
      <c r="C551" t="s">
        <v>1056</v>
      </c>
      <c r="D551" t="s">
        <v>71</v>
      </c>
      <c r="E551">
        <v>4</v>
      </c>
      <c r="F551">
        <v>8</v>
      </c>
      <c r="G551" t="s">
        <v>426</v>
      </c>
      <c r="H551" t="s">
        <v>73</v>
      </c>
      <c r="I551">
        <v>14.7</v>
      </c>
      <c r="J551">
        <v>9.8000000000000007</v>
      </c>
      <c r="K551">
        <v>12.5</v>
      </c>
      <c r="L551">
        <v>23</v>
      </c>
      <c r="M551">
        <v>295</v>
      </c>
      <c r="N551">
        <v>4</v>
      </c>
      <c r="O551">
        <v>4</v>
      </c>
      <c r="P551" t="s">
        <v>1057</v>
      </c>
      <c r="Q551">
        <v>12.5</v>
      </c>
    </row>
    <row r="552" spans="1:17" x14ac:dyDescent="0.25">
      <c r="A552">
        <v>2025</v>
      </c>
      <c r="B552" t="s">
        <v>1058</v>
      </c>
      <c r="C552" t="s">
        <v>1059</v>
      </c>
      <c r="D552" t="s">
        <v>353</v>
      </c>
      <c r="E552">
        <v>3</v>
      </c>
      <c r="F552">
        <v>6</v>
      </c>
      <c r="G552" t="s">
        <v>97</v>
      </c>
      <c r="H552" t="s">
        <v>105</v>
      </c>
      <c r="I552">
        <v>13.1</v>
      </c>
      <c r="J552">
        <v>9.4</v>
      </c>
      <c r="K552">
        <v>11.5</v>
      </c>
      <c r="L552">
        <v>25</v>
      </c>
      <c r="M552">
        <v>269</v>
      </c>
      <c r="N552">
        <v>4</v>
      </c>
      <c r="O552">
        <v>6</v>
      </c>
      <c r="P552" t="s">
        <v>1060</v>
      </c>
      <c r="Q552">
        <v>11.5</v>
      </c>
    </row>
    <row r="553" spans="1:17" x14ac:dyDescent="0.25">
      <c r="A553">
        <v>2025</v>
      </c>
      <c r="B553" t="s">
        <v>1058</v>
      </c>
      <c r="C553" t="s">
        <v>1061</v>
      </c>
      <c r="D553" t="s">
        <v>353</v>
      </c>
      <c r="E553">
        <v>3.6</v>
      </c>
      <c r="F553">
        <v>6</v>
      </c>
      <c r="G553" t="s">
        <v>97</v>
      </c>
      <c r="H553" t="s">
        <v>105</v>
      </c>
      <c r="I553">
        <v>11.9</v>
      </c>
      <c r="J553">
        <v>9.4</v>
      </c>
      <c r="K553">
        <v>10.8</v>
      </c>
      <c r="L553">
        <v>26</v>
      </c>
      <c r="M553">
        <v>253</v>
      </c>
      <c r="N553">
        <v>5</v>
      </c>
      <c r="O553">
        <v>6</v>
      </c>
      <c r="P553" t="s">
        <v>1062</v>
      </c>
      <c r="Q553">
        <v>10.8</v>
      </c>
    </row>
    <row r="554" spans="1:17" x14ac:dyDescent="0.25">
      <c r="A554">
        <v>2025</v>
      </c>
      <c r="B554" t="s">
        <v>1058</v>
      </c>
      <c r="C554" t="s">
        <v>1063</v>
      </c>
      <c r="D554" t="s">
        <v>353</v>
      </c>
      <c r="E554">
        <v>3</v>
      </c>
      <c r="F554">
        <v>6</v>
      </c>
      <c r="G554" t="s">
        <v>97</v>
      </c>
      <c r="H554" t="s">
        <v>105</v>
      </c>
      <c r="I554">
        <v>14</v>
      </c>
      <c r="J554">
        <v>9.8000000000000007</v>
      </c>
      <c r="K554">
        <v>12.1</v>
      </c>
      <c r="L554">
        <v>23</v>
      </c>
      <c r="M554">
        <v>284</v>
      </c>
      <c r="N554">
        <v>4</v>
      </c>
      <c r="O554">
        <v>6</v>
      </c>
      <c r="P554" t="s">
        <v>1064</v>
      </c>
      <c r="Q554">
        <v>12.1</v>
      </c>
    </row>
    <row r="555" spans="1:17" x14ac:dyDescent="0.25">
      <c r="A555">
        <v>2025</v>
      </c>
      <c r="B555" t="s">
        <v>1058</v>
      </c>
      <c r="C555" t="s">
        <v>1065</v>
      </c>
      <c r="D555" t="s">
        <v>353</v>
      </c>
      <c r="E555">
        <v>3.6</v>
      </c>
      <c r="F555">
        <v>6</v>
      </c>
      <c r="G555" t="s">
        <v>97</v>
      </c>
      <c r="H555" t="s">
        <v>105</v>
      </c>
      <c r="I555">
        <v>12.2</v>
      </c>
      <c r="J555">
        <v>9.6999999999999993</v>
      </c>
      <c r="K555">
        <v>11</v>
      </c>
      <c r="L555">
        <v>26</v>
      </c>
      <c r="M555">
        <v>259</v>
      </c>
      <c r="N555">
        <v>4</v>
      </c>
      <c r="O555">
        <v>6</v>
      </c>
      <c r="P555" t="s">
        <v>1066</v>
      </c>
      <c r="Q555">
        <v>11</v>
      </c>
    </row>
    <row r="556" spans="1:17" x14ac:dyDescent="0.25">
      <c r="A556">
        <v>2025</v>
      </c>
      <c r="B556" t="s">
        <v>1058</v>
      </c>
      <c r="C556" t="s">
        <v>1067</v>
      </c>
      <c r="D556" t="s">
        <v>353</v>
      </c>
      <c r="E556">
        <v>3</v>
      </c>
      <c r="F556">
        <v>6</v>
      </c>
      <c r="G556" t="s">
        <v>97</v>
      </c>
      <c r="H556" t="s">
        <v>73</v>
      </c>
      <c r="I556">
        <v>15.7</v>
      </c>
      <c r="J556">
        <v>11.5</v>
      </c>
      <c r="K556">
        <v>13.8</v>
      </c>
      <c r="L556">
        <v>20</v>
      </c>
      <c r="M556">
        <v>324</v>
      </c>
      <c r="N556">
        <v>3</v>
      </c>
      <c r="O556">
        <v>6</v>
      </c>
      <c r="P556" t="s">
        <v>1068</v>
      </c>
      <c r="Q556">
        <v>13.8</v>
      </c>
    </row>
    <row r="557" spans="1:17" x14ac:dyDescent="0.25">
      <c r="A557">
        <v>2025</v>
      </c>
      <c r="B557" t="s">
        <v>1058</v>
      </c>
      <c r="C557" t="s">
        <v>1069</v>
      </c>
      <c r="D557" t="s">
        <v>353</v>
      </c>
      <c r="E557">
        <v>3</v>
      </c>
      <c r="F557">
        <v>6</v>
      </c>
      <c r="G557" t="s">
        <v>97</v>
      </c>
      <c r="H557" t="s">
        <v>73</v>
      </c>
      <c r="I557">
        <v>16.7</v>
      </c>
      <c r="J557">
        <v>14.9</v>
      </c>
      <c r="K557">
        <v>15.9</v>
      </c>
      <c r="L557">
        <v>18</v>
      </c>
      <c r="M557">
        <v>374</v>
      </c>
      <c r="N557">
        <v>2</v>
      </c>
      <c r="O557">
        <v>6</v>
      </c>
      <c r="P557" t="s">
        <v>1070</v>
      </c>
      <c r="Q557">
        <v>15.9</v>
      </c>
    </row>
    <row r="558" spans="1:17" x14ac:dyDescent="0.25">
      <c r="A558">
        <v>2025</v>
      </c>
      <c r="B558" t="s">
        <v>1071</v>
      </c>
      <c r="C558" t="s">
        <v>1072</v>
      </c>
      <c r="D558" t="s">
        <v>83</v>
      </c>
      <c r="E558">
        <v>6.7</v>
      </c>
      <c r="F558">
        <v>12</v>
      </c>
      <c r="G558" t="s">
        <v>142</v>
      </c>
      <c r="H558" t="s">
        <v>73</v>
      </c>
      <c r="I558">
        <v>19.7</v>
      </c>
      <c r="J558">
        <v>12.4</v>
      </c>
      <c r="K558">
        <v>16.399999999999999</v>
      </c>
      <c r="L558">
        <v>17</v>
      </c>
      <c r="M558">
        <v>379</v>
      </c>
      <c r="N558">
        <v>2</v>
      </c>
      <c r="O558">
        <v>2</v>
      </c>
      <c r="P558" t="s">
        <v>1073</v>
      </c>
      <c r="Q558">
        <v>16.399999999999999</v>
      </c>
    </row>
    <row r="559" spans="1:17" x14ac:dyDescent="0.25">
      <c r="A559">
        <v>2025</v>
      </c>
      <c r="B559" t="s">
        <v>1071</v>
      </c>
      <c r="C559" t="s">
        <v>1074</v>
      </c>
      <c r="D559" t="s">
        <v>83</v>
      </c>
      <c r="E559">
        <v>6.7</v>
      </c>
      <c r="F559">
        <v>12</v>
      </c>
      <c r="G559" t="s">
        <v>142</v>
      </c>
      <c r="H559" t="s">
        <v>73</v>
      </c>
      <c r="I559">
        <v>19.7</v>
      </c>
      <c r="J559">
        <v>12.4</v>
      </c>
      <c r="K559">
        <v>16.399999999999999</v>
      </c>
      <c r="L559">
        <v>17</v>
      </c>
      <c r="M559">
        <v>379</v>
      </c>
      <c r="N559">
        <v>2</v>
      </c>
      <c r="O559">
        <v>2</v>
      </c>
      <c r="P559" t="s">
        <v>1075</v>
      </c>
      <c r="Q559">
        <v>16.399999999999999</v>
      </c>
    </row>
    <row r="560" spans="1:17" x14ac:dyDescent="0.25">
      <c r="A560">
        <v>2025</v>
      </c>
      <c r="B560" t="s">
        <v>1071</v>
      </c>
      <c r="C560" t="s">
        <v>1076</v>
      </c>
      <c r="D560" t="s">
        <v>71</v>
      </c>
      <c r="E560">
        <v>6.7</v>
      </c>
      <c r="F560">
        <v>12</v>
      </c>
      <c r="G560" t="s">
        <v>142</v>
      </c>
      <c r="H560" t="s">
        <v>73</v>
      </c>
      <c r="I560">
        <v>19.7</v>
      </c>
      <c r="J560">
        <v>12.4</v>
      </c>
      <c r="K560">
        <v>16.399999999999999</v>
      </c>
      <c r="L560">
        <v>17</v>
      </c>
      <c r="M560">
        <v>379</v>
      </c>
      <c r="N560">
        <v>2</v>
      </c>
      <c r="O560">
        <v>2</v>
      </c>
      <c r="P560" t="s">
        <v>1077</v>
      </c>
      <c r="Q560">
        <v>16.399999999999999</v>
      </c>
    </row>
    <row r="561" spans="1:17" x14ac:dyDescent="0.25">
      <c r="A561">
        <v>2025</v>
      </c>
      <c r="B561" t="s">
        <v>1071</v>
      </c>
      <c r="C561" t="s">
        <v>1078</v>
      </c>
      <c r="D561" t="s">
        <v>71</v>
      </c>
      <c r="E561">
        <v>6.7</v>
      </c>
      <c r="F561">
        <v>12</v>
      </c>
      <c r="G561" t="s">
        <v>142</v>
      </c>
      <c r="H561" t="s">
        <v>73</v>
      </c>
      <c r="I561">
        <v>19.7</v>
      </c>
      <c r="J561">
        <v>12.4</v>
      </c>
      <c r="K561">
        <v>16.399999999999999</v>
      </c>
      <c r="L561">
        <v>17</v>
      </c>
      <c r="M561">
        <v>379</v>
      </c>
      <c r="N561">
        <v>2</v>
      </c>
      <c r="O561">
        <v>2</v>
      </c>
      <c r="P561" t="s">
        <v>1079</v>
      </c>
      <c r="Q561">
        <v>16.399999999999999</v>
      </c>
    </row>
    <row r="562" spans="1:17" x14ac:dyDescent="0.25">
      <c r="A562">
        <v>2025</v>
      </c>
      <c r="B562" t="s">
        <v>1071</v>
      </c>
      <c r="C562" t="s">
        <v>1080</v>
      </c>
      <c r="D562" t="s">
        <v>71</v>
      </c>
      <c r="E562">
        <v>6.7</v>
      </c>
      <c r="F562">
        <v>12</v>
      </c>
      <c r="G562" t="s">
        <v>142</v>
      </c>
      <c r="H562" t="s">
        <v>73</v>
      </c>
      <c r="I562">
        <v>19.7</v>
      </c>
      <c r="J562">
        <v>12.4</v>
      </c>
      <c r="K562">
        <v>16.399999999999999</v>
      </c>
      <c r="L562">
        <v>17</v>
      </c>
      <c r="M562">
        <v>379</v>
      </c>
      <c r="N562">
        <v>2</v>
      </c>
      <c r="O562">
        <v>2</v>
      </c>
      <c r="P562" t="s">
        <v>1081</v>
      </c>
      <c r="Q562">
        <v>16.399999999999999</v>
      </c>
    </row>
    <row r="563" spans="1:17" x14ac:dyDescent="0.25">
      <c r="A563">
        <v>2025</v>
      </c>
      <c r="B563" t="s">
        <v>1071</v>
      </c>
      <c r="C563" t="s">
        <v>1082</v>
      </c>
      <c r="D563" t="s">
        <v>71</v>
      </c>
      <c r="E563">
        <v>6.7</v>
      </c>
      <c r="F563">
        <v>12</v>
      </c>
      <c r="G563" t="s">
        <v>142</v>
      </c>
      <c r="H563" t="s">
        <v>73</v>
      </c>
      <c r="I563">
        <v>19.7</v>
      </c>
      <c r="J563">
        <v>12.4</v>
      </c>
      <c r="K563">
        <v>16.399999999999999</v>
      </c>
      <c r="L563">
        <v>17</v>
      </c>
      <c r="M563">
        <v>379</v>
      </c>
      <c r="N563">
        <v>2</v>
      </c>
      <c r="O563">
        <v>2</v>
      </c>
      <c r="P563" t="s">
        <v>1083</v>
      </c>
      <c r="Q563">
        <v>16.399999999999999</v>
      </c>
    </row>
    <row r="564" spans="1:17" x14ac:dyDescent="0.25">
      <c r="A564">
        <v>2025</v>
      </c>
      <c r="B564" t="s">
        <v>1071</v>
      </c>
      <c r="C564" t="s">
        <v>1084</v>
      </c>
      <c r="D564" t="s">
        <v>71</v>
      </c>
      <c r="E564">
        <v>6.7</v>
      </c>
      <c r="F564">
        <v>12</v>
      </c>
      <c r="G564" t="s">
        <v>142</v>
      </c>
      <c r="H564" t="s">
        <v>73</v>
      </c>
      <c r="I564">
        <v>19.7</v>
      </c>
      <c r="J564">
        <v>12.4</v>
      </c>
      <c r="K564">
        <v>16.399999999999999</v>
      </c>
      <c r="L564">
        <v>17</v>
      </c>
      <c r="M564">
        <v>379</v>
      </c>
      <c r="N564">
        <v>2</v>
      </c>
      <c r="O564">
        <v>2</v>
      </c>
      <c r="P564" t="s">
        <v>1085</v>
      </c>
      <c r="Q564">
        <v>16.399999999999999</v>
      </c>
    </row>
    <row r="565" spans="1:17" x14ac:dyDescent="0.25">
      <c r="A565">
        <v>2025</v>
      </c>
      <c r="B565" t="s">
        <v>1086</v>
      </c>
      <c r="C565" t="s">
        <v>1087</v>
      </c>
      <c r="D565" t="s">
        <v>83</v>
      </c>
      <c r="E565">
        <v>2.4</v>
      </c>
      <c r="F565">
        <v>4</v>
      </c>
      <c r="G565" t="s">
        <v>631</v>
      </c>
      <c r="H565" t="s">
        <v>105</v>
      </c>
      <c r="I565">
        <v>12.3</v>
      </c>
      <c r="J565">
        <v>9.4</v>
      </c>
      <c r="K565">
        <v>11</v>
      </c>
      <c r="L565">
        <v>26</v>
      </c>
      <c r="M565">
        <v>257</v>
      </c>
      <c r="N565">
        <v>5</v>
      </c>
      <c r="O565">
        <v>4</v>
      </c>
      <c r="P565" t="s">
        <v>1088</v>
      </c>
      <c r="Q565">
        <v>11</v>
      </c>
    </row>
    <row r="566" spans="1:17" x14ac:dyDescent="0.25">
      <c r="A566">
        <v>2025</v>
      </c>
      <c r="B566" t="s">
        <v>1086</v>
      </c>
      <c r="C566" t="s">
        <v>1089</v>
      </c>
      <c r="D566" t="s">
        <v>109</v>
      </c>
      <c r="E566">
        <v>2.4</v>
      </c>
      <c r="F566">
        <v>4</v>
      </c>
      <c r="G566" t="s">
        <v>687</v>
      </c>
      <c r="H566" t="s">
        <v>73</v>
      </c>
      <c r="I566">
        <v>11.1</v>
      </c>
      <c r="J566">
        <v>7.8</v>
      </c>
      <c r="K566">
        <v>9.6</v>
      </c>
      <c r="L566">
        <v>29</v>
      </c>
      <c r="M566">
        <v>225</v>
      </c>
      <c r="N566">
        <v>5</v>
      </c>
      <c r="O566">
        <v>2</v>
      </c>
      <c r="P566" t="s">
        <v>1090</v>
      </c>
      <c r="Q566">
        <v>9.6</v>
      </c>
    </row>
    <row r="567" spans="1:17" x14ac:dyDescent="0.25">
      <c r="A567">
        <v>2025</v>
      </c>
      <c r="B567" t="s">
        <v>1086</v>
      </c>
      <c r="C567" t="s">
        <v>1089</v>
      </c>
      <c r="D567" t="s">
        <v>109</v>
      </c>
      <c r="E567">
        <v>2.4</v>
      </c>
      <c r="F567">
        <v>4</v>
      </c>
      <c r="G567" t="s">
        <v>75</v>
      </c>
      <c r="H567" t="s">
        <v>73</v>
      </c>
      <c r="I567">
        <v>12</v>
      </c>
      <c r="J567">
        <v>8.8000000000000007</v>
      </c>
      <c r="K567">
        <v>10.5</v>
      </c>
      <c r="L567">
        <v>27</v>
      </c>
      <c r="M567">
        <v>247</v>
      </c>
      <c r="N567">
        <v>5</v>
      </c>
      <c r="O567">
        <v>2</v>
      </c>
      <c r="P567" t="s">
        <v>1090</v>
      </c>
      <c r="Q567">
        <v>10.5</v>
      </c>
    </row>
    <row r="568" spans="1:17" x14ac:dyDescent="0.25">
      <c r="A568">
        <v>2025</v>
      </c>
      <c r="B568" t="s">
        <v>1086</v>
      </c>
      <c r="C568" t="s">
        <v>1091</v>
      </c>
      <c r="D568" t="s">
        <v>79</v>
      </c>
      <c r="E568">
        <v>2</v>
      </c>
      <c r="F568">
        <v>4</v>
      </c>
      <c r="G568" t="s">
        <v>631</v>
      </c>
      <c r="H568" t="s">
        <v>105</v>
      </c>
      <c r="I568">
        <v>8.8000000000000007</v>
      </c>
      <c r="J568">
        <v>7</v>
      </c>
      <c r="K568">
        <v>8</v>
      </c>
      <c r="L568">
        <v>35</v>
      </c>
      <c r="M568">
        <v>188</v>
      </c>
      <c r="N568">
        <v>6</v>
      </c>
      <c r="O568">
        <v>6</v>
      </c>
      <c r="P568" t="s">
        <v>1092</v>
      </c>
      <c r="Q568">
        <v>8</v>
      </c>
    </row>
    <row r="569" spans="1:17" x14ac:dyDescent="0.25">
      <c r="A569">
        <v>2025</v>
      </c>
      <c r="B569" t="s">
        <v>1086</v>
      </c>
      <c r="C569" t="s">
        <v>1091</v>
      </c>
      <c r="D569" t="s">
        <v>79</v>
      </c>
      <c r="E569">
        <v>2.5</v>
      </c>
      <c r="F569">
        <v>4</v>
      </c>
      <c r="G569" t="s">
        <v>631</v>
      </c>
      <c r="H569" t="s">
        <v>105</v>
      </c>
      <c r="I569">
        <v>8.9</v>
      </c>
      <c r="J569">
        <v>7.2</v>
      </c>
      <c r="K569">
        <v>8.1</v>
      </c>
      <c r="L569">
        <v>35</v>
      </c>
      <c r="M569">
        <v>190</v>
      </c>
      <c r="N569">
        <v>6</v>
      </c>
      <c r="O569">
        <v>6</v>
      </c>
      <c r="P569" t="s">
        <v>1092</v>
      </c>
      <c r="Q569">
        <v>8.1</v>
      </c>
    </row>
    <row r="570" spans="1:17" x14ac:dyDescent="0.25">
      <c r="A570">
        <v>2025</v>
      </c>
      <c r="B570" t="s">
        <v>1086</v>
      </c>
      <c r="C570" t="s">
        <v>1093</v>
      </c>
      <c r="D570" t="s">
        <v>79</v>
      </c>
      <c r="E570">
        <v>2.5</v>
      </c>
      <c r="F570">
        <v>4</v>
      </c>
      <c r="G570" t="s">
        <v>631</v>
      </c>
      <c r="H570" t="s">
        <v>105</v>
      </c>
      <c r="I570">
        <v>9.4</v>
      </c>
      <c r="J570">
        <v>8.1</v>
      </c>
      <c r="K570">
        <v>8.8000000000000007</v>
      </c>
      <c r="L570">
        <v>32</v>
      </c>
      <c r="M570">
        <v>206</v>
      </c>
      <c r="N570">
        <v>5</v>
      </c>
      <c r="O570">
        <v>6</v>
      </c>
      <c r="P570" t="s">
        <v>1094</v>
      </c>
      <c r="Q570">
        <v>8.8000000000000007</v>
      </c>
    </row>
    <row r="571" spans="1:17" x14ac:dyDescent="0.25">
      <c r="A571">
        <v>2025</v>
      </c>
      <c r="B571" t="s">
        <v>1086</v>
      </c>
      <c r="C571" t="s">
        <v>1095</v>
      </c>
      <c r="D571" t="s">
        <v>79</v>
      </c>
      <c r="E571">
        <v>2.5</v>
      </c>
      <c r="F571">
        <v>4</v>
      </c>
      <c r="G571" t="s">
        <v>631</v>
      </c>
      <c r="H571" t="s">
        <v>105</v>
      </c>
      <c r="I571">
        <v>9.1</v>
      </c>
      <c r="J571">
        <v>7.2</v>
      </c>
      <c r="K571">
        <v>8.3000000000000007</v>
      </c>
      <c r="L571">
        <v>34</v>
      </c>
      <c r="M571">
        <v>194</v>
      </c>
      <c r="N571">
        <v>6</v>
      </c>
      <c r="O571">
        <v>6</v>
      </c>
      <c r="P571" t="s">
        <v>1096</v>
      </c>
      <c r="Q571">
        <v>8.3000000000000007</v>
      </c>
    </row>
    <row r="572" spans="1:17" x14ac:dyDescent="0.25">
      <c r="A572">
        <v>2025</v>
      </c>
      <c r="B572" t="s">
        <v>1086</v>
      </c>
      <c r="C572" t="s">
        <v>1097</v>
      </c>
      <c r="D572" t="s">
        <v>79</v>
      </c>
      <c r="E572">
        <v>2.5</v>
      </c>
      <c r="F572">
        <v>4</v>
      </c>
      <c r="G572" t="s">
        <v>631</v>
      </c>
      <c r="H572" t="s">
        <v>105</v>
      </c>
      <c r="I572">
        <v>9.5</v>
      </c>
      <c r="J572">
        <v>8.3000000000000007</v>
      </c>
      <c r="K572">
        <v>9</v>
      </c>
      <c r="L572">
        <v>31</v>
      </c>
      <c r="M572">
        <v>210</v>
      </c>
      <c r="N572">
        <v>5</v>
      </c>
      <c r="O572">
        <v>6</v>
      </c>
      <c r="P572" t="s">
        <v>1098</v>
      </c>
      <c r="Q572">
        <v>9</v>
      </c>
    </row>
    <row r="573" spans="1:17" x14ac:dyDescent="0.25">
      <c r="A573">
        <v>2025</v>
      </c>
      <c r="B573" t="s">
        <v>1086</v>
      </c>
      <c r="C573" t="s">
        <v>1099</v>
      </c>
      <c r="D573" t="s">
        <v>79</v>
      </c>
      <c r="E573">
        <v>2.5</v>
      </c>
      <c r="F573">
        <v>4</v>
      </c>
      <c r="G573" t="s">
        <v>734</v>
      </c>
      <c r="H573" t="s">
        <v>105</v>
      </c>
      <c r="I573">
        <v>6.8</v>
      </c>
      <c r="J573">
        <v>7</v>
      </c>
      <c r="K573">
        <v>6.9</v>
      </c>
      <c r="L573">
        <v>41</v>
      </c>
      <c r="M573">
        <v>161</v>
      </c>
      <c r="N573">
        <v>7</v>
      </c>
      <c r="O573">
        <v>7</v>
      </c>
      <c r="P573" t="s">
        <v>1100</v>
      </c>
      <c r="Q573">
        <v>6.9</v>
      </c>
    </row>
    <row r="574" spans="1:17" x14ac:dyDescent="0.25">
      <c r="A574">
        <v>2025</v>
      </c>
      <c r="B574" t="s">
        <v>1086</v>
      </c>
      <c r="C574" t="s">
        <v>1101</v>
      </c>
      <c r="D574" t="s">
        <v>124</v>
      </c>
      <c r="E574">
        <v>2</v>
      </c>
      <c r="F574">
        <v>4</v>
      </c>
      <c r="G574" t="s">
        <v>631</v>
      </c>
      <c r="H574" t="s">
        <v>105</v>
      </c>
      <c r="I574">
        <v>8.8000000000000007</v>
      </c>
      <c r="J574">
        <v>6.9</v>
      </c>
      <c r="K574">
        <v>8</v>
      </c>
      <c r="L574">
        <v>35</v>
      </c>
      <c r="M574">
        <v>185</v>
      </c>
      <c r="N574">
        <v>6</v>
      </c>
      <c r="O574">
        <v>6</v>
      </c>
      <c r="P574" t="s">
        <v>1102</v>
      </c>
      <c r="Q574">
        <v>8</v>
      </c>
    </row>
    <row r="575" spans="1:17" x14ac:dyDescent="0.25">
      <c r="A575">
        <v>2025</v>
      </c>
      <c r="B575" t="s">
        <v>1086</v>
      </c>
      <c r="C575" t="s">
        <v>1101</v>
      </c>
      <c r="D575" t="s">
        <v>124</v>
      </c>
      <c r="E575">
        <v>2.5</v>
      </c>
      <c r="F575">
        <v>4</v>
      </c>
      <c r="G575" t="s">
        <v>631</v>
      </c>
      <c r="H575" t="s">
        <v>105</v>
      </c>
      <c r="I575">
        <v>9</v>
      </c>
      <c r="J575">
        <v>7.2</v>
      </c>
      <c r="K575">
        <v>8.1999999999999993</v>
      </c>
      <c r="L575">
        <v>34</v>
      </c>
      <c r="M575">
        <v>191</v>
      </c>
      <c r="N575">
        <v>6</v>
      </c>
      <c r="O575">
        <v>6</v>
      </c>
      <c r="P575" t="s">
        <v>1102</v>
      </c>
      <c r="Q575">
        <v>8.1999999999999993</v>
      </c>
    </row>
    <row r="576" spans="1:17" x14ac:dyDescent="0.25">
      <c r="A576">
        <v>2025</v>
      </c>
      <c r="B576" t="s">
        <v>1086</v>
      </c>
      <c r="C576" t="s">
        <v>1103</v>
      </c>
      <c r="D576" t="s">
        <v>79</v>
      </c>
      <c r="E576">
        <v>2.4</v>
      </c>
      <c r="F576">
        <v>4</v>
      </c>
      <c r="G576" t="s">
        <v>631</v>
      </c>
      <c r="H576" t="s">
        <v>105</v>
      </c>
      <c r="I576">
        <v>10.6</v>
      </c>
      <c r="J576">
        <v>8.1</v>
      </c>
      <c r="K576">
        <v>9.5</v>
      </c>
      <c r="L576">
        <v>30</v>
      </c>
      <c r="M576">
        <v>221</v>
      </c>
      <c r="N576">
        <v>5</v>
      </c>
      <c r="O576">
        <v>5</v>
      </c>
      <c r="P576" t="s">
        <v>1104</v>
      </c>
      <c r="Q576">
        <v>9.5</v>
      </c>
    </row>
    <row r="577" spans="1:17" x14ac:dyDescent="0.25">
      <c r="A577">
        <v>2025</v>
      </c>
      <c r="B577" t="s">
        <v>1086</v>
      </c>
      <c r="C577" t="s">
        <v>1103</v>
      </c>
      <c r="D577" t="s">
        <v>79</v>
      </c>
      <c r="E577">
        <v>2.5</v>
      </c>
      <c r="F577">
        <v>4</v>
      </c>
      <c r="G577" t="s">
        <v>631</v>
      </c>
      <c r="H577" t="s">
        <v>105</v>
      </c>
      <c r="I577">
        <v>9.1999999999999993</v>
      </c>
      <c r="J577">
        <v>7.3</v>
      </c>
      <c r="K577">
        <v>8.3000000000000007</v>
      </c>
      <c r="L577">
        <v>34</v>
      </c>
      <c r="M577">
        <v>195</v>
      </c>
      <c r="N577">
        <v>6</v>
      </c>
      <c r="O577">
        <v>6</v>
      </c>
      <c r="P577" t="s">
        <v>1104</v>
      </c>
      <c r="Q577">
        <v>8.3000000000000007</v>
      </c>
    </row>
    <row r="578" spans="1:17" x14ac:dyDescent="0.25">
      <c r="A578">
        <v>2025</v>
      </c>
      <c r="B578" t="s">
        <v>1086</v>
      </c>
      <c r="C578" t="s">
        <v>1105</v>
      </c>
      <c r="D578" t="s">
        <v>79</v>
      </c>
      <c r="E578">
        <v>2.4</v>
      </c>
      <c r="F578">
        <v>4</v>
      </c>
      <c r="G578" t="s">
        <v>631</v>
      </c>
      <c r="H578" t="s">
        <v>105</v>
      </c>
      <c r="I578">
        <v>11</v>
      </c>
      <c r="J578">
        <v>9</v>
      </c>
      <c r="K578">
        <v>10.1</v>
      </c>
      <c r="L578">
        <v>28</v>
      </c>
      <c r="M578">
        <v>235</v>
      </c>
      <c r="N578">
        <v>5</v>
      </c>
      <c r="O578">
        <v>5</v>
      </c>
      <c r="P578" t="s">
        <v>1106</v>
      </c>
      <c r="Q578">
        <v>10.1</v>
      </c>
    </row>
    <row r="579" spans="1:17" x14ac:dyDescent="0.25">
      <c r="A579">
        <v>2025</v>
      </c>
      <c r="B579" t="s">
        <v>1086</v>
      </c>
      <c r="C579" t="s">
        <v>1107</v>
      </c>
      <c r="D579" t="s">
        <v>96</v>
      </c>
      <c r="E579">
        <v>2.4</v>
      </c>
      <c r="F579">
        <v>4</v>
      </c>
      <c r="G579" t="s">
        <v>631</v>
      </c>
      <c r="H579" t="s">
        <v>73</v>
      </c>
      <c r="I579">
        <v>12.7</v>
      </c>
      <c r="J579">
        <v>9.4</v>
      </c>
      <c r="K579">
        <v>11.2</v>
      </c>
      <c r="L579">
        <v>25</v>
      </c>
      <c r="M579">
        <v>262</v>
      </c>
      <c r="N579">
        <v>4</v>
      </c>
      <c r="O579">
        <v>2</v>
      </c>
      <c r="P579" t="s">
        <v>1108</v>
      </c>
      <c r="Q579">
        <v>11.2</v>
      </c>
    </row>
    <row r="580" spans="1:17" x14ac:dyDescent="0.25">
      <c r="A580">
        <v>2025</v>
      </c>
      <c r="B580" t="s">
        <v>1086</v>
      </c>
      <c r="C580" t="s">
        <v>1107</v>
      </c>
      <c r="D580" t="s">
        <v>96</v>
      </c>
      <c r="E580">
        <v>2.4</v>
      </c>
      <c r="F580">
        <v>4</v>
      </c>
      <c r="G580" t="s">
        <v>75</v>
      </c>
      <c r="H580" t="s">
        <v>73</v>
      </c>
      <c r="I580">
        <v>12.4</v>
      </c>
      <c r="J580">
        <v>9</v>
      </c>
      <c r="K580">
        <v>10.9</v>
      </c>
      <c r="L580">
        <v>26</v>
      </c>
      <c r="M580">
        <v>255</v>
      </c>
      <c r="N580">
        <v>5</v>
      </c>
      <c r="O580">
        <v>2</v>
      </c>
      <c r="P580" t="s">
        <v>1108</v>
      </c>
      <c r="Q580">
        <v>10.9</v>
      </c>
    </row>
    <row r="581" spans="1:17" x14ac:dyDescent="0.25">
      <c r="A581">
        <v>2025</v>
      </c>
      <c r="B581" t="s">
        <v>1109</v>
      </c>
      <c r="C581" t="s">
        <v>1110</v>
      </c>
      <c r="D581" t="s">
        <v>83</v>
      </c>
      <c r="E581">
        <v>2.4</v>
      </c>
      <c r="F581">
        <v>4</v>
      </c>
      <c r="G581" t="s">
        <v>142</v>
      </c>
      <c r="H581" t="s">
        <v>105</v>
      </c>
      <c r="I581">
        <v>12.4</v>
      </c>
      <c r="J581">
        <v>9.6</v>
      </c>
      <c r="K581">
        <v>11.2</v>
      </c>
      <c r="L581">
        <v>25</v>
      </c>
      <c r="M581">
        <v>262</v>
      </c>
      <c r="N581">
        <v>4</v>
      </c>
      <c r="O581">
        <v>6</v>
      </c>
      <c r="P581" t="s">
        <v>1111</v>
      </c>
      <c r="Q581">
        <v>11.2</v>
      </c>
    </row>
    <row r="582" spans="1:17" x14ac:dyDescent="0.25">
      <c r="A582">
        <v>2025</v>
      </c>
      <c r="B582" t="s">
        <v>1109</v>
      </c>
      <c r="C582" t="s">
        <v>1112</v>
      </c>
      <c r="D582" t="s">
        <v>83</v>
      </c>
      <c r="E582">
        <v>2.4</v>
      </c>
      <c r="F582">
        <v>4</v>
      </c>
      <c r="G582" t="s">
        <v>142</v>
      </c>
      <c r="H582" t="s">
        <v>105</v>
      </c>
      <c r="I582">
        <v>12</v>
      </c>
      <c r="J582">
        <v>9.9</v>
      </c>
      <c r="K582">
        <v>11.1</v>
      </c>
      <c r="L582">
        <v>25</v>
      </c>
      <c r="M582">
        <v>258</v>
      </c>
      <c r="N582">
        <v>4</v>
      </c>
      <c r="O582">
        <v>6</v>
      </c>
      <c r="P582" t="s">
        <v>1113</v>
      </c>
      <c r="Q582">
        <v>11.1</v>
      </c>
    </row>
    <row r="583" spans="1:17" x14ac:dyDescent="0.25">
      <c r="A583">
        <v>2025</v>
      </c>
      <c r="B583" t="s">
        <v>1109</v>
      </c>
      <c r="C583" t="s">
        <v>1114</v>
      </c>
      <c r="D583" t="s">
        <v>83</v>
      </c>
      <c r="E583">
        <v>2.4</v>
      </c>
      <c r="F583">
        <v>4</v>
      </c>
      <c r="G583" t="s">
        <v>142</v>
      </c>
      <c r="H583" t="s">
        <v>105</v>
      </c>
      <c r="I583">
        <v>10.3</v>
      </c>
      <c r="J583">
        <v>9.5</v>
      </c>
      <c r="K583">
        <v>9.9</v>
      </c>
      <c r="L583">
        <v>29</v>
      </c>
      <c r="M583">
        <v>232</v>
      </c>
      <c r="N583">
        <v>5</v>
      </c>
      <c r="O583">
        <v>6</v>
      </c>
      <c r="P583" t="s">
        <v>1115</v>
      </c>
      <c r="Q583">
        <v>9.9</v>
      </c>
    </row>
    <row r="584" spans="1:17" x14ac:dyDescent="0.25">
      <c r="A584">
        <v>2025</v>
      </c>
      <c r="B584" t="s">
        <v>1109</v>
      </c>
      <c r="C584" t="s">
        <v>1116</v>
      </c>
      <c r="D584" t="s">
        <v>83</v>
      </c>
      <c r="E584">
        <v>2.4</v>
      </c>
      <c r="F584">
        <v>4</v>
      </c>
      <c r="G584" t="s">
        <v>142</v>
      </c>
      <c r="H584" t="s">
        <v>105</v>
      </c>
      <c r="I584">
        <v>10.5</v>
      </c>
      <c r="J584">
        <v>9.6999999999999993</v>
      </c>
      <c r="K584">
        <v>10.1</v>
      </c>
      <c r="L584">
        <v>28</v>
      </c>
      <c r="M584">
        <v>236</v>
      </c>
      <c r="N584">
        <v>5</v>
      </c>
      <c r="O584">
        <v>6</v>
      </c>
      <c r="P584" t="s">
        <v>1117</v>
      </c>
      <c r="Q584">
        <v>10.1</v>
      </c>
    </row>
    <row r="585" spans="1:17" x14ac:dyDescent="0.25">
      <c r="A585">
        <v>2025</v>
      </c>
      <c r="B585" t="s">
        <v>1109</v>
      </c>
      <c r="C585" t="s">
        <v>1118</v>
      </c>
      <c r="D585" t="s">
        <v>96</v>
      </c>
      <c r="E585">
        <v>2.5</v>
      </c>
      <c r="F585">
        <v>4</v>
      </c>
      <c r="G585" t="s">
        <v>309</v>
      </c>
      <c r="H585" t="s">
        <v>105</v>
      </c>
      <c r="I585">
        <v>4.9000000000000004</v>
      </c>
      <c r="J585">
        <v>4.9000000000000004</v>
      </c>
      <c r="K585">
        <v>4.9000000000000004</v>
      </c>
      <c r="L585">
        <v>58</v>
      </c>
      <c r="M585">
        <v>114</v>
      </c>
      <c r="N585">
        <v>8</v>
      </c>
      <c r="O585">
        <v>6</v>
      </c>
      <c r="P585" t="s">
        <v>1119</v>
      </c>
      <c r="Q585">
        <v>4.9000000000000004</v>
      </c>
    </row>
    <row r="586" spans="1:17" x14ac:dyDescent="0.25">
      <c r="A586">
        <v>2025</v>
      </c>
      <c r="B586" t="s">
        <v>1109</v>
      </c>
      <c r="C586" t="s">
        <v>1120</v>
      </c>
      <c r="D586" t="s">
        <v>96</v>
      </c>
      <c r="E586">
        <v>2.5</v>
      </c>
      <c r="F586">
        <v>4</v>
      </c>
      <c r="G586" t="s">
        <v>309</v>
      </c>
      <c r="H586" t="s">
        <v>105</v>
      </c>
      <c r="I586">
        <v>5.0999999999999996</v>
      </c>
      <c r="J586">
        <v>5.0999999999999996</v>
      </c>
      <c r="K586">
        <v>5.0999999999999996</v>
      </c>
      <c r="L586">
        <v>55</v>
      </c>
      <c r="M586">
        <v>117</v>
      </c>
      <c r="N586">
        <v>8</v>
      </c>
      <c r="O586">
        <v>6</v>
      </c>
      <c r="P586" t="s">
        <v>1121</v>
      </c>
      <c r="Q586">
        <v>5.0999999999999996</v>
      </c>
    </row>
    <row r="587" spans="1:17" x14ac:dyDescent="0.25">
      <c r="A587">
        <v>2025</v>
      </c>
      <c r="B587" t="s">
        <v>1109</v>
      </c>
      <c r="C587" t="s">
        <v>1122</v>
      </c>
      <c r="D587" t="s">
        <v>96</v>
      </c>
      <c r="E587">
        <v>2.5</v>
      </c>
      <c r="F587">
        <v>4</v>
      </c>
      <c r="G587" t="s">
        <v>309</v>
      </c>
      <c r="H587" t="s">
        <v>105</v>
      </c>
      <c r="I587">
        <v>5.3</v>
      </c>
      <c r="J587">
        <v>5.5</v>
      </c>
      <c r="K587">
        <v>5.3</v>
      </c>
      <c r="L587">
        <v>53</v>
      </c>
      <c r="M587">
        <v>124</v>
      </c>
      <c r="N587">
        <v>8</v>
      </c>
      <c r="O587">
        <v>6</v>
      </c>
      <c r="P587" t="s">
        <v>1123</v>
      </c>
      <c r="Q587">
        <v>5.3</v>
      </c>
    </row>
    <row r="588" spans="1:17" x14ac:dyDescent="0.25">
      <c r="A588">
        <v>2025</v>
      </c>
      <c r="B588" t="s">
        <v>1109</v>
      </c>
      <c r="C588" t="s">
        <v>1124</v>
      </c>
      <c r="D588" t="s">
        <v>90</v>
      </c>
      <c r="E588">
        <v>2</v>
      </c>
      <c r="F588">
        <v>4</v>
      </c>
      <c r="G588" t="s">
        <v>309</v>
      </c>
      <c r="H588" t="s">
        <v>105</v>
      </c>
      <c r="I588">
        <v>7.4</v>
      </c>
      <c r="J588">
        <v>5.7</v>
      </c>
      <c r="K588">
        <v>6.7</v>
      </c>
      <c r="L588">
        <v>42</v>
      </c>
      <c r="M588">
        <v>158</v>
      </c>
      <c r="N588">
        <v>7</v>
      </c>
      <c r="O588">
        <v>6</v>
      </c>
      <c r="P588" t="s">
        <v>1125</v>
      </c>
      <c r="Q588">
        <v>6.7</v>
      </c>
    </row>
    <row r="589" spans="1:17" x14ac:dyDescent="0.25">
      <c r="A589">
        <v>2025</v>
      </c>
      <c r="B589" t="s">
        <v>1109</v>
      </c>
      <c r="C589" t="s">
        <v>1126</v>
      </c>
      <c r="D589" t="s">
        <v>90</v>
      </c>
      <c r="E589">
        <v>2</v>
      </c>
      <c r="F589">
        <v>4</v>
      </c>
      <c r="G589" t="s">
        <v>753</v>
      </c>
      <c r="H589" t="s">
        <v>105</v>
      </c>
      <c r="I589">
        <v>7.6</v>
      </c>
      <c r="J589">
        <v>5.9</v>
      </c>
      <c r="K589">
        <v>6.8</v>
      </c>
      <c r="L589">
        <v>42</v>
      </c>
      <c r="M589">
        <v>160</v>
      </c>
      <c r="N589">
        <v>7</v>
      </c>
      <c r="O589">
        <v>6</v>
      </c>
      <c r="P589" t="s">
        <v>1127</v>
      </c>
      <c r="Q589">
        <v>6.8</v>
      </c>
    </row>
    <row r="590" spans="1:17" x14ac:dyDescent="0.25">
      <c r="A590">
        <v>2025</v>
      </c>
      <c r="B590" t="s">
        <v>1109</v>
      </c>
      <c r="C590" t="s">
        <v>1128</v>
      </c>
      <c r="D590" t="s">
        <v>90</v>
      </c>
      <c r="E590">
        <v>2</v>
      </c>
      <c r="F590">
        <v>4</v>
      </c>
      <c r="G590" t="s">
        <v>753</v>
      </c>
      <c r="H590" t="s">
        <v>105</v>
      </c>
      <c r="I590">
        <v>7.5</v>
      </c>
      <c r="J590">
        <v>5.9</v>
      </c>
      <c r="K590">
        <v>6.8</v>
      </c>
      <c r="L590">
        <v>42</v>
      </c>
      <c r="M590">
        <v>159</v>
      </c>
      <c r="N590">
        <v>7</v>
      </c>
      <c r="O590">
        <v>6</v>
      </c>
      <c r="P590" t="s">
        <v>1129</v>
      </c>
      <c r="Q590">
        <v>6.8</v>
      </c>
    </row>
    <row r="591" spans="1:17" x14ac:dyDescent="0.25">
      <c r="A591">
        <v>2025</v>
      </c>
      <c r="B591" t="s">
        <v>1109</v>
      </c>
      <c r="C591" t="s">
        <v>1130</v>
      </c>
      <c r="D591" t="s">
        <v>90</v>
      </c>
      <c r="E591">
        <v>1.8</v>
      </c>
      <c r="F591">
        <v>4</v>
      </c>
      <c r="G591" t="s">
        <v>309</v>
      </c>
      <c r="H591" t="s">
        <v>105</v>
      </c>
      <c r="I591">
        <v>4.4000000000000004</v>
      </c>
      <c r="J591">
        <v>5.0999999999999996</v>
      </c>
      <c r="K591">
        <v>4.7</v>
      </c>
      <c r="L591">
        <v>60</v>
      </c>
      <c r="M591">
        <v>110</v>
      </c>
      <c r="N591">
        <v>8</v>
      </c>
      <c r="O591">
        <v>6</v>
      </c>
      <c r="P591" t="s">
        <v>1131</v>
      </c>
      <c r="Q591">
        <v>4.7</v>
      </c>
    </row>
    <row r="592" spans="1:17" x14ac:dyDescent="0.25">
      <c r="A592">
        <v>2025</v>
      </c>
      <c r="B592" t="s">
        <v>1109</v>
      </c>
      <c r="C592" t="s">
        <v>1132</v>
      </c>
      <c r="D592" t="s">
        <v>90</v>
      </c>
      <c r="E592">
        <v>1.8</v>
      </c>
      <c r="F592">
        <v>4</v>
      </c>
      <c r="G592" t="s">
        <v>309</v>
      </c>
      <c r="H592" t="s">
        <v>105</v>
      </c>
      <c r="I592">
        <v>4.5999999999999996</v>
      </c>
      <c r="J592">
        <v>5.3</v>
      </c>
      <c r="K592">
        <v>4.9000000000000004</v>
      </c>
      <c r="L592">
        <v>58</v>
      </c>
      <c r="M592">
        <v>115</v>
      </c>
      <c r="N592">
        <v>8</v>
      </c>
      <c r="O592">
        <v>6</v>
      </c>
      <c r="P592" t="s">
        <v>1133</v>
      </c>
      <c r="Q592">
        <v>4.9000000000000004</v>
      </c>
    </row>
    <row r="593" spans="1:17" x14ac:dyDescent="0.25">
      <c r="A593">
        <v>2025</v>
      </c>
      <c r="B593" t="s">
        <v>1109</v>
      </c>
      <c r="C593" t="s">
        <v>1134</v>
      </c>
      <c r="D593" t="s">
        <v>90</v>
      </c>
      <c r="E593">
        <v>1.8</v>
      </c>
      <c r="F593">
        <v>4</v>
      </c>
      <c r="G593" t="s">
        <v>309</v>
      </c>
      <c r="H593" t="s">
        <v>105</v>
      </c>
      <c r="I593">
        <v>5</v>
      </c>
      <c r="J593">
        <v>5.7</v>
      </c>
      <c r="K593">
        <v>5.3</v>
      </c>
      <c r="L593">
        <v>53</v>
      </c>
      <c r="M593">
        <v>124</v>
      </c>
      <c r="N593">
        <v>8</v>
      </c>
      <c r="O593">
        <v>6</v>
      </c>
      <c r="P593" t="s">
        <v>1135</v>
      </c>
      <c r="Q593">
        <v>5.3</v>
      </c>
    </row>
    <row r="594" spans="1:17" x14ac:dyDescent="0.25">
      <c r="A594">
        <v>2025</v>
      </c>
      <c r="B594" t="s">
        <v>1109</v>
      </c>
      <c r="C594" t="s">
        <v>1136</v>
      </c>
      <c r="D594" t="s">
        <v>79</v>
      </c>
      <c r="E594">
        <v>2</v>
      </c>
      <c r="F594">
        <v>4</v>
      </c>
      <c r="G594" t="s">
        <v>753</v>
      </c>
      <c r="H594" t="s">
        <v>105</v>
      </c>
      <c r="I594">
        <v>7.6</v>
      </c>
      <c r="J594">
        <v>7.2</v>
      </c>
      <c r="K594">
        <v>7.4</v>
      </c>
      <c r="L594">
        <v>38</v>
      </c>
      <c r="M594">
        <v>172</v>
      </c>
      <c r="N594">
        <v>6</v>
      </c>
      <c r="O594">
        <v>6</v>
      </c>
      <c r="P594" t="s">
        <v>1137</v>
      </c>
      <c r="Q594">
        <v>7.4</v>
      </c>
    </row>
    <row r="595" spans="1:17" x14ac:dyDescent="0.25">
      <c r="A595">
        <v>2025</v>
      </c>
      <c r="B595" t="s">
        <v>1109</v>
      </c>
      <c r="C595" t="s">
        <v>1138</v>
      </c>
      <c r="D595" t="s">
        <v>79</v>
      </c>
      <c r="E595">
        <v>2</v>
      </c>
      <c r="F595">
        <v>4</v>
      </c>
      <c r="G595" t="s">
        <v>753</v>
      </c>
      <c r="H595" t="s">
        <v>105</v>
      </c>
      <c r="I595">
        <v>8.1</v>
      </c>
      <c r="J595">
        <v>7.5</v>
      </c>
      <c r="K595">
        <v>7.8</v>
      </c>
      <c r="L595">
        <v>36</v>
      </c>
      <c r="M595">
        <v>183</v>
      </c>
      <c r="N595">
        <v>6</v>
      </c>
      <c r="O595">
        <v>6</v>
      </c>
      <c r="P595" t="s">
        <v>1139</v>
      </c>
      <c r="Q595">
        <v>7.8</v>
      </c>
    </row>
    <row r="596" spans="1:17" x14ac:dyDescent="0.25">
      <c r="A596">
        <v>2025</v>
      </c>
      <c r="B596" t="s">
        <v>1109</v>
      </c>
      <c r="C596" t="s">
        <v>1140</v>
      </c>
      <c r="D596" t="s">
        <v>79</v>
      </c>
      <c r="E596">
        <v>2</v>
      </c>
      <c r="F596">
        <v>4</v>
      </c>
      <c r="G596" t="s">
        <v>734</v>
      </c>
      <c r="H596" t="s">
        <v>105</v>
      </c>
      <c r="I596">
        <v>5.2</v>
      </c>
      <c r="J596">
        <v>6.2</v>
      </c>
      <c r="K596">
        <v>5.6</v>
      </c>
      <c r="L596">
        <v>50</v>
      </c>
      <c r="M596">
        <v>130</v>
      </c>
      <c r="N596">
        <v>7</v>
      </c>
      <c r="O596">
        <v>6</v>
      </c>
      <c r="P596" t="s">
        <v>1141</v>
      </c>
      <c r="Q596">
        <v>5.6</v>
      </c>
    </row>
    <row r="597" spans="1:17" x14ac:dyDescent="0.25">
      <c r="A597">
        <v>2025</v>
      </c>
      <c r="B597" t="s">
        <v>1109</v>
      </c>
      <c r="C597" t="s">
        <v>1142</v>
      </c>
      <c r="D597" t="s">
        <v>96</v>
      </c>
      <c r="E597">
        <v>2.4</v>
      </c>
      <c r="F597">
        <v>4</v>
      </c>
      <c r="G597" t="s">
        <v>687</v>
      </c>
      <c r="H597" t="s">
        <v>105</v>
      </c>
      <c r="I597">
        <v>8.1</v>
      </c>
      <c r="J597">
        <v>7.3</v>
      </c>
      <c r="K597">
        <v>7.8</v>
      </c>
      <c r="L597">
        <v>36</v>
      </c>
      <c r="M597">
        <v>182</v>
      </c>
      <c r="N597">
        <v>6</v>
      </c>
      <c r="O597">
        <v>6</v>
      </c>
      <c r="P597" t="s">
        <v>1143</v>
      </c>
      <c r="Q597">
        <v>7.8</v>
      </c>
    </row>
    <row r="598" spans="1:17" x14ac:dyDescent="0.25">
      <c r="A598">
        <v>2025</v>
      </c>
      <c r="B598" t="s">
        <v>1109</v>
      </c>
      <c r="C598" t="s">
        <v>1142</v>
      </c>
      <c r="D598" t="s">
        <v>96</v>
      </c>
      <c r="E598">
        <v>2.5</v>
      </c>
      <c r="F598">
        <v>4</v>
      </c>
      <c r="G598" t="s">
        <v>309</v>
      </c>
      <c r="H598" t="s">
        <v>105</v>
      </c>
      <c r="I598">
        <v>5.6</v>
      </c>
      <c r="J598">
        <v>5.7</v>
      </c>
      <c r="K598">
        <v>5.7</v>
      </c>
      <c r="L598">
        <v>50</v>
      </c>
      <c r="M598">
        <v>133</v>
      </c>
      <c r="N598">
        <v>7</v>
      </c>
      <c r="O598">
        <v>6</v>
      </c>
      <c r="P598" t="s">
        <v>1143</v>
      </c>
      <c r="Q598">
        <v>5.7</v>
      </c>
    </row>
    <row r="599" spans="1:17" x14ac:dyDescent="0.25">
      <c r="A599">
        <v>2025</v>
      </c>
      <c r="B599" t="s">
        <v>1109</v>
      </c>
      <c r="C599" t="s">
        <v>1144</v>
      </c>
      <c r="D599" t="s">
        <v>124</v>
      </c>
      <c r="E599">
        <v>2.5</v>
      </c>
      <c r="F599">
        <v>4</v>
      </c>
      <c r="G599" t="s">
        <v>309</v>
      </c>
      <c r="H599" t="s">
        <v>105</v>
      </c>
      <c r="I599">
        <v>6</v>
      </c>
      <c r="J599">
        <v>6.3</v>
      </c>
      <c r="K599">
        <v>6.2</v>
      </c>
      <c r="L599">
        <v>46</v>
      </c>
      <c r="M599">
        <v>143</v>
      </c>
      <c r="N599">
        <v>7</v>
      </c>
      <c r="O599">
        <v>6</v>
      </c>
      <c r="P599" t="s">
        <v>1145</v>
      </c>
      <c r="Q599">
        <v>6.2</v>
      </c>
    </row>
    <row r="600" spans="1:17" x14ac:dyDescent="0.25">
      <c r="A600">
        <v>2025</v>
      </c>
      <c r="B600" t="s">
        <v>1109</v>
      </c>
      <c r="C600" t="s">
        <v>1146</v>
      </c>
      <c r="D600" t="s">
        <v>118</v>
      </c>
      <c r="E600">
        <v>1.6</v>
      </c>
      <c r="F600">
        <v>3</v>
      </c>
      <c r="G600" t="s">
        <v>142</v>
      </c>
      <c r="H600" t="s">
        <v>73</v>
      </c>
      <c r="I600">
        <v>12.1</v>
      </c>
      <c r="J600">
        <v>8.6</v>
      </c>
      <c r="K600">
        <v>10.5</v>
      </c>
      <c r="L600">
        <v>27</v>
      </c>
      <c r="M600">
        <v>245</v>
      </c>
      <c r="N600">
        <v>5</v>
      </c>
      <c r="O600">
        <v>4</v>
      </c>
      <c r="P600" t="s">
        <v>1147</v>
      </c>
      <c r="Q600">
        <v>10.5</v>
      </c>
    </row>
    <row r="601" spans="1:17" x14ac:dyDescent="0.25">
      <c r="A601">
        <v>2025</v>
      </c>
      <c r="B601" t="s">
        <v>1109</v>
      </c>
      <c r="C601" t="s">
        <v>1146</v>
      </c>
      <c r="D601" t="s">
        <v>118</v>
      </c>
      <c r="E601">
        <v>1.6</v>
      </c>
      <c r="F601">
        <v>3</v>
      </c>
      <c r="G601" t="s">
        <v>75</v>
      </c>
      <c r="H601" t="s">
        <v>73</v>
      </c>
      <c r="I601">
        <v>11.1</v>
      </c>
      <c r="J601">
        <v>8.3000000000000007</v>
      </c>
      <c r="K601">
        <v>9.8000000000000007</v>
      </c>
      <c r="L601">
        <v>29</v>
      </c>
      <c r="M601">
        <v>229</v>
      </c>
      <c r="N601">
        <v>5</v>
      </c>
      <c r="O601">
        <v>4</v>
      </c>
      <c r="P601" t="s">
        <v>1147</v>
      </c>
      <c r="Q601">
        <v>9.8000000000000007</v>
      </c>
    </row>
    <row r="602" spans="1:17" x14ac:dyDescent="0.25">
      <c r="A602">
        <v>2025</v>
      </c>
      <c r="B602" t="s">
        <v>1109</v>
      </c>
      <c r="C602" t="s">
        <v>1148</v>
      </c>
      <c r="D602" t="s">
        <v>114</v>
      </c>
      <c r="E602">
        <v>3</v>
      </c>
      <c r="F602">
        <v>6</v>
      </c>
      <c r="G602" t="s">
        <v>142</v>
      </c>
      <c r="H602" t="s">
        <v>73</v>
      </c>
      <c r="I602">
        <v>10.199999999999999</v>
      </c>
      <c r="J602">
        <v>7.7</v>
      </c>
      <c r="K602">
        <v>9.1</v>
      </c>
      <c r="L602">
        <v>31</v>
      </c>
      <c r="M602">
        <v>212</v>
      </c>
      <c r="N602">
        <v>5</v>
      </c>
      <c r="O602">
        <v>4</v>
      </c>
      <c r="P602" t="s">
        <v>1149</v>
      </c>
      <c r="Q602">
        <v>9.1</v>
      </c>
    </row>
    <row r="603" spans="1:17" x14ac:dyDescent="0.25">
      <c r="A603">
        <v>2025</v>
      </c>
      <c r="B603" t="s">
        <v>1109</v>
      </c>
      <c r="C603" t="s">
        <v>1148</v>
      </c>
      <c r="D603" t="s">
        <v>114</v>
      </c>
      <c r="E603">
        <v>3</v>
      </c>
      <c r="F603">
        <v>6</v>
      </c>
      <c r="G603" t="s">
        <v>75</v>
      </c>
      <c r="H603" t="s">
        <v>73</v>
      </c>
      <c r="I603">
        <v>12.7</v>
      </c>
      <c r="J603">
        <v>8.8000000000000007</v>
      </c>
      <c r="K603">
        <v>10.9</v>
      </c>
      <c r="L603">
        <v>26</v>
      </c>
      <c r="M603">
        <v>255</v>
      </c>
      <c r="N603">
        <v>5</v>
      </c>
      <c r="O603">
        <v>4</v>
      </c>
      <c r="P603" t="s">
        <v>1149</v>
      </c>
      <c r="Q603">
        <v>10.9</v>
      </c>
    </row>
    <row r="604" spans="1:17" x14ac:dyDescent="0.25">
      <c r="A604">
        <v>2025</v>
      </c>
      <c r="B604" t="s">
        <v>1109</v>
      </c>
      <c r="C604" t="s">
        <v>1150</v>
      </c>
      <c r="D604" t="s">
        <v>109</v>
      </c>
      <c r="E604">
        <v>2.4</v>
      </c>
      <c r="F604">
        <v>4</v>
      </c>
      <c r="G604" t="s">
        <v>687</v>
      </c>
      <c r="H604" t="s">
        <v>73</v>
      </c>
      <c r="I604">
        <v>11.2</v>
      </c>
      <c r="J604">
        <v>7.8</v>
      </c>
      <c r="K604">
        <v>9.6999999999999993</v>
      </c>
      <c r="L604">
        <v>29</v>
      </c>
      <c r="M604">
        <v>227</v>
      </c>
      <c r="N604">
        <v>5</v>
      </c>
      <c r="O604">
        <v>2</v>
      </c>
      <c r="P604" t="s">
        <v>1151</v>
      </c>
      <c r="Q604">
        <v>9.6999999999999993</v>
      </c>
    </row>
    <row r="605" spans="1:17" x14ac:dyDescent="0.25">
      <c r="A605">
        <v>2025</v>
      </c>
      <c r="B605" t="s">
        <v>1109</v>
      </c>
      <c r="C605" t="s">
        <v>1150</v>
      </c>
      <c r="D605" t="s">
        <v>109</v>
      </c>
      <c r="E605">
        <v>2.4</v>
      </c>
      <c r="F605">
        <v>4</v>
      </c>
      <c r="G605" t="s">
        <v>75</v>
      </c>
      <c r="H605" t="s">
        <v>73</v>
      </c>
      <c r="I605">
        <v>12</v>
      </c>
      <c r="J605">
        <v>8.9</v>
      </c>
      <c r="K605">
        <v>10.6</v>
      </c>
      <c r="L605">
        <v>27</v>
      </c>
      <c r="M605">
        <v>250</v>
      </c>
      <c r="N605">
        <v>5</v>
      </c>
      <c r="O605">
        <v>2</v>
      </c>
      <c r="P605" t="s">
        <v>1151</v>
      </c>
      <c r="Q605">
        <v>10.6</v>
      </c>
    </row>
    <row r="606" spans="1:17" x14ac:dyDescent="0.25">
      <c r="A606">
        <v>2025</v>
      </c>
      <c r="B606" t="s">
        <v>1109</v>
      </c>
      <c r="C606" t="s">
        <v>1152</v>
      </c>
      <c r="D606" t="s">
        <v>83</v>
      </c>
      <c r="E606">
        <v>2.4</v>
      </c>
      <c r="F606">
        <v>4</v>
      </c>
      <c r="G606" t="s">
        <v>142</v>
      </c>
      <c r="H606" t="s">
        <v>105</v>
      </c>
      <c r="I606">
        <v>11.6</v>
      </c>
      <c r="J606">
        <v>9</v>
      </c>
      <c r="K606">
        <v>10.7</v>
      </c>
      <c r="L606">
        <v>26</v>
      </c>
      <c r="M606">
        <v>249</v>
      </c>
      <c r="N606">
        <v>5</v>
      </c>
      <c r="O606">
        <v>6</v>
      </c>
      <c r="P606" t="s">
        <v>1153</v>
      </c>
      <c r="Q606">
        <v>10.7</v>
      </c>
    </row>
    <row r="607" spans="1:17" x14ac:dyDescent="0.25">
      <c r="A607">
        <v>2025</v>
      </c>
      <c r="B607" t="s">
        <v>1109</v>
      </c>
      <c r="C607" t="s">
        <v>1154</v>
      </c>
      <c r="D607" t="s">
        <v>83</v>
      </c>
      <c r="E607">
        <v>2.4</v>
      </c>
      <c r="F607">
        <v>4</v>
      </c>
      <c r="G607" t="s">
        <v>142</v>
      </c>
      <c r="H607" t="s">
        <v>105</v>
      </c>
      <c r="I607">
        <v>11.2</v>
      </c>
      <c r="J607">
        <v>8.6</v>
      </c>
      <c r="K607">
        <v>10</v>
      </c>
      <c r="L607">
        <v>28</v>
      </c>
      <c r="M607">
        <v>236</v>
      </c>
      <c r="N607">
        <v>5</v>
      </c>
      <c r="O607">
        <v>6</v>
      </c>
      <c r="P607" t="s">
        <v>1155</v>
      </c>
      <c r="Q607">
        <v>10</v>
      </c>
    </row>
    <row r="608" spans="1:17" x14ac:dyDescent="0.25">
      <c r="A608">
        <v>2025</v>
      </c>
      <c r="B608" t="s">
        <v>1109</v>
      </c>
      <c r="C608" t="s">
        <v>1156</v>
      </c>
      <c r="D608" t="s">
        <v>83</v>
      </c>
      <c r="E608">
        <v>2.5</v>
      </c>
      <c r="F608">
        <v>4</v>
      </c>
      <c r="G608" t="s">
        <v>734</v>
      </c>
      <c r="H608" t="s">
        <v>105</v>
      </c>
      <c r="I608">
        <v>6.6</v>
      </c>
      <c r="J608">
        <v>7.4</v>
      </c>
      <c r="K608">
        <v>7</v>
      </c>
      <c r="L608">
        <v>40</v>
      </c>
      <c r="M608">
        <v>161</v>
      </c>
      <c r="N608">
        <v>7</v>
      </c>
      <c r="O608">
        <v>6</v>
      </c>
      <c r="P608" t="s">
        <v>1157</v>
      </c>
      <c r="Q608">
        <v>7</v>
      </c>
    </row>
    <row r="609" spans="1:17" x14ac:dyDescent="0.25">
      <c r="A609">
        <v>2025</v>
      </c>
      <c r="B609" t="s">
        <v>1109</v>
      </c>
      <c r="C609" t="s">
        <v>1158</v>
      </c>
      <c r="D609" t="s">
        <v>83</v>
      </c>
      <c r="E609">
        <v>2.4</v>
      </c>
      <c r="F609">
        <v>4</v>
      </c>
      <c r="G609" t="s">
        <v>734</v>
      </c>
      <c r="H609" t="s">
        <v>105</v>
      </c>
      <c r="I609">
        <v>9</v>
      </c>
      <c r="J609">
        <v>8.6</v>
      </c>
      <c r="K609">
        <v>8.8000000000000007</v>
      </c>
      <c r="L609">
        <v>32</v>
      </c>
      <c r="M609">
        <v>206</v>
      </c>
      <c r="N609">
        <v>5</v>
      </c>
      <c r="O609">
        <v>6</v>
      </c>
      <c r="P609" t="s">
        <v>1159</v>
      </c>
      <c r="Q609">
        <v>8.8000000000000007</v>
      </c>
    </row>
    <row r="610" spans="1:17" x14ac:dyDescent="0.25">
      <c r="A610">
        <v>2025</v>
      </c>
      <c r="B610" t="s">
        <v>1109</v>
      </c>
      <c r="C610" t="s">
        <v>1160</v>
      </c>
      <c r="D610" t="s">
        <v>79</v>
      </c>
      <c r="E610">
        <v>2.4</v>
      </c>
      <c r="F610">
        <v>4</v>
      </c>
      <c r="G610" t="s">
        <v>142</v>
      </c>
      <c r="H610" t="s">
        <v>105</v>
      </c>
      <c r="I610">
        <v>11</v>
      </c>
      <c r="J610">
        <v>8.4</v>
      </c>
      <c r="K610">
        <v>9.9</v>
      </c>
      <c r="L610">
        <v>29</v>
      </c>
      <c r="M610">
        <v>231</v>
      </c>
      <c r="N610">
        <v>5</v>
      </c>
      <c r="O610">
        <v>6</v>
      </c>
      <c r="P610" t="s">
        <v>1161</v>
      </c>
      <c r="Q610">
        <v>9.9</v>
      </c>
    </row>
    <row r="611" spans="1:17" x14ac:dyDescent="0.25">
      <c r="A611">
        <v>2025</v>
      </c>
      <c r="B611" t="s">
        <v>1109</v>
      </c>
      <c r="C611" t="s">
        <v>1162</v>
      </c>
      <c r="D611" t="s">
        <v>83</v>
      </c>
      <c r="E611">
        <v>2.5</v>
      </c>
      <c r="F611">
        <v>4</v>
      </c>
      <c r="G611" t="s">
        <v>309</v>
      </c>
      <c r="H611" t="s">
        <v>105</v>
      </c>
      <c r="I611">
        <v>6.7</v>
      </c>
      <c r="J611">
        <v>6.8</v>
      </c>
      <c r="K611">
        <v>6.7</v>
      </c>
      <c r="L611">
        <v>42</v>
      </c>
      <c r="M611">
        <v>158</v>
      </c>
      <c r="N611">
        <v>7</v>
      </c>
      <c r="O611">
        <v>6</v>
      </c>
      <c r="P611" t="s">
        <v>1163</v>
      </c>
      <c r="Q611">
        <v>6.7</v>
      </c>
    </row>
    <row r="612" spans="1:17" x14ac:dyDescent="0.25">
      <c r="A612">
        <v>2025</v>
      </c>
      <c r="B612" t="s">
        <v>1109</v>
      </c>
      <c r="C612" t="s">
        <v>1164</v>
      </c>
      <c r="D612" t="s">
        <v>83</v>
      </c>
      <c r="E612">
        <v>2.5</v>
      </c>
      <c r="F612">
        <v>4</v>
      </c>
      <c r="G612" t="s">
        <v>309</v>
      </c>
      <c r="H612" t="s">
        <v>105</v>
      </c>
      <c r="I612">
        <v>6.6</v>
      </c>
      <c r="J612">
        <v>6.8</v>
      </c>
      <c r="K612">
        <v>6.7</v>
      </c>
      <c r="L612">
        <v>42</v>
      </c>
      <c r="M612">
        <v>156</v>
      </c>
      <c r="N612">
        <v>7</v>
      </c>
      <c r="O612">
        <v>6</v>
      </c>
      <c r="P612" t="s">
        <v>1165</v>
      </c>
      <c r="Q612">
        <v>6.7</v>
      </c>
    </row>
    <row r="613" spans="1:17" x14ac:dyDescent="0.25">
      <c r="A613">
        <v>2025</v>
      </c>
      <c r="B613" t="s">
        <v>1109</v>
      </c>
      <c r="C613" t="s">
        <v>1166</v>
      </c>
      <c r="D613" t="s">
        <v>83</v>
      </c>
      <c r="E613">
        <v>2.4</v>
      </c>
      <c r="F613">
        <v>4</v>
      </c>
      <c r="G613" t="s">
        <v>142</v>
      </c>
      <c r="H613" t="s">
        <v>73</v>
      </c>
      <c r="I613">
        <v>10.7</v>
      </c>
      <c r="J613">
        <v>9.5</v>
      </c>
      <c r="K613">
        <v>10.1</v>
      </c>
      <c r="L613">
        <v>28</v>
      </c>
      <c r="M613">
        <v>236</v>
      </c>
      <c r="N613">
        <v>5</v>
      </c>
      <c r="O613">
        <v>5</v>
      </c>
      <c r="P613" t="s">
        <v>1167</v>
      </c>
      <c r="Q613">
        <v>10.1</v>
      </c>
    </row>
    <row r="614" spans="1:17" x14ac:dyDescent="0.25">
      <c r="A614">
        <v>2025</v>
      </c>
      <c r="B614" t="s">
        <v>1109</v>
      </c>
      <c r="C614" t="s">
        <v>1168</v>
      </c>
      <c r="D614" t="s">
        <v>96</v>
      </c>
      <c r="E614">
        <v>2</v>
      </c>
      <c r="F614">
        <v>4</v>
      </c>
      <c r="G614" t="s">
        <v>309</v>
      </c>
      <c r="H614" t="s">
        <v>105</v>
      </c>
      <c r="I614">
        <v>4.8</v>
      </c>
      <c r="J614">
        <v>4.7</v>
      </c>
      <c r="K614">
        <v>4.8</v>
      </c>
      <c r="L614">
        <v>59</v>
      </c>
      <c r="M614">
        <v>111</v>
      </c>
      <c r="N614">
        <v>8</v>
      </c>
      <c r="O614">
        <v>6</v>
      </c>
      <c r="P614" t="s">
        <v>1169</v>
      </c>
      <c r="Q614">
        <v>4.8</v>
      </c>
    </row>
    <row r="615" spans="1:17" x14ac:dyDescent="0.25">
      <c r="A615">
        <v>2025</v>
      </c>
      <c r="B615" t="s">
        <v>1109</v>
      </c>
      <c r="C615" t="s">
        <v>1170</v>
      </c>
      <c r="D615" t="s">
        <v>79</v>
      </c>
      <c r="E615">
        <v>2.5</v>
      </c>
      <c r="F615">
        <v>4</v>
      </c>
      <c r="G615" t="s">
        <v>142</v>
      </c>
      <c r="H615" t="s">
        <v>105</v>
      </c>
      <c r="I615">
        <v>9.5</v>
      </c>
      <c r="J615">
        <v>7.2</v>
      </c>
      <c r="K615">
        <v>8.5</v>
      </c>
      <c r="L615">
        <v>33</v>
      </c>
      <c r="M615">
        <v>198</v>
      </c>
      <c r="N615">
        <v>6</v>
      </c>
      <c r="O615">
        <v>5</v>
      </c>
      <c r="P615" t="s">
        <v>5</v>
      </c>
      <c r="Q615">
        <v>8.5</v>
      </c>
    </row>
    <row r="616" spans="1:17" x14ac:dyDescent="0.25">
      <c r="A616">
        <v>2025</v>
      </c>
      <c r="B616" t="s">
        <v>1109</v>
      </c>
      <c r="C616" t="s">
        <v>1171</v>
      </c>
      <c r="D616" t="s">
        <v>79</v>
      </c>
      <c r="E616">
        <v>2.5</v>
      </c>
      <c r="F616">
        <v>4</v>
      </c>
      <c r="G616" t="s">
        <v>142</v>
      </c>
      <c r="H616" t="s">
        <v>105</v>
      </c>
      <c r="I616">
        <v>8.8000000000000007</v>
      </c>
      <c r="J616">
        <v>7.1</v>
      </c>
      <c r="K616">
        <v>8</v>
      </c>
      <c r="L616">
        <v>35</v>
      </c>
      <c r="M616">
        <v>187</v>
      </c>
      <c r="N616">
        <v>6</v>
      </c>
      <c r="O616">
        <v>5</v>
      </c>
      <c r="P616" t="s">
        <v>1172</v>
      </c>
      <c r="Q616">
        <v>8</v>
      </c>
    </row>
    <row r="617" spans="1:17" x14ac:dyDescent="0.25">
      <c r="A617">
        <v>2025</v>
      </c>
      <c r="B617" t="s">
        <v>1109</v>
      </c>
      <c r="C617" t="s">
        <v>1173</v>
      </c>
      <c r="D617" t="s">
        <v>79</v>
      </c>
      <c r="E617">
        <v>2.5</v>
      </c>
      <c r="F617">
        <v>4</v>
      </c>
      <c r="G617" t="s">
        <v>142</v>
      </c>
      <c r="H617" t="s">
        <v>105</v>
      </c>
      <c r="I617">
        <v>8.6999999999999993</v>
      </c>
      <c r="J617">
        <v>6.9</v>
      </c>
      <c r="K617">
        <v>7.9</v>
      </c>
      <c r="L617">
        <v>36</v>
      </c>
      <c r="M617">
        <v>184</v>
      </c>
      <c r="N617">
        <v>6</v>
      </c>
      <c r="O617">
        <v>5</v>
      </c>
      <c r="P617" t="s">
        <v>1174</v>
      </c>
      <c r="Q617">
        <v>7.9</v>
      </c>
    </row>
    <row r="618" spans="1:17" x14ac:dyDescent="0.25">
      <c r="A618">
        <v>2025</v>
      </c>
      <c r="B618" t="s">
        <v>1109</v>
      </c>
      <c r="C618" t="s">
        <v>1175</v>
      </c>
      <c r="D618" t="s">
        <v>79</v>
      </c>
      <c r="E618">
        <v>2.5</v>
      </c>
      <c r="F618">
        <v>4</v>
      </c>
      <c r="G618" t="s">
        <v>309</v>
      </c>
      <c r="H618" t="s">
        <v>105</v>
      </c>
      <c r="I618">
        <v>5.8</v>
      </c>
      <c r="J618">
        <v>6.3</v>
      </c>
      <c r="K618">
        <v>6</v>
      </c>
      <c r="L618">
        <v>47</v>
      </c>
      <c r="M618">
        <v>140</v>
      </c>
      <c r="N618">
        <v>7</v>
      </c>
      <c r="O618">
        <v>6</v>
      </c>
      <c r="P618" t="s">
        <v>7</v>
      </c>
      <c r="Q618">
        <v>6</v>
      </c>
    </row>
    <row r="619" spans="1:17" x14ac:dyDescent="0.25">
      <c r="A619">
        <v>2025</v>
      </c>
      <c r="B619" t="s">
        <v>1109</v>
      </c>
      <c r="C619" t="s">
        <v>1176</v>
      </c>
      <c r="D619" t="s">
        <v>79</v>
      </c>
      <c r="E619">
        <v>2.5</v>
      </c>
      <c r="F619">
        <v>4</v>
      </c>
      <c r="G619" t="s">
        <v>309</v>
      </c>
      <c r="H619" t="s">
        <v>105</v>
      </c>
      <c r="I619">
        <v>6.1</v>
      </c>
      <c r="J619">
        <v>6.8</v>
      </c>
      <c r="K619">
        <v>6.4</v>
      </c>
      <c r="L619">
        <v>44</v>
      </c>
      <c r="M619">
        <v>149</v>
      </c>
      <c r="N619">
        <v>7</v>
      </c>
      <c r="O619">
        <v>6</v>
      </c>
      <c r="P619" t="s">
        <v>1177</v>
      </c>
      <c r="Q619">
        <v>6.4</v>
      </c>
    </row>
    <row r="620" spans="1:17" x14ac:dyDescent="0.25">
      <c r="A620">
        <v>2025</v>
      </c>
      <c r="B620" t="s">
        <v>1109</v>
      </c>
      <c r="C620" t="s">
        <v>1178</v>
      </c>
      <c r="D620" t="s">
        <v>83</v>
      </c>
      <c r="E620">
        <v>3.4</v>
      </c>
      <c r="F620">
        <v>6</v>
      </c>
      <c r="G620" t="s">
        <v>80</v>
      </c>
      <c r="H620" t="s">
        <v>105</v>
      </c>
      <c r="I620">
        <v>12.6</v>
      </c>
      <c r="J620">
        <v>10.5</v>
      </c>
      <c r="K620">
        <v>11.7</v>
      </c>
      <c r="L620">
        <v>24</v>
      </c>
      <c r="M620">
        <v>273</v>
      </c>
      <c r="N620">
        <v>4</v>
      </c>
      <c r="O620">
        <v>4</v>
      </c>
      <c r="P620" t="s">
        <v>1179</v>
      </c>
      <c r="Q620">
        <v>11.7</v>
      </c>
    </row>
    <row r="621" spans="1:17" x14ac:dyDescent="0.25">
      <c r="A621">
        <v>2025</v>
      </c>
      <c r="B621" t="s">
        <v>1109</v>
      </c>
      <c r="C621" t="s">
        <v>1180</v>
      </c>
      <c r="D621" t="s">
        <v>411</v>
      </c>
      <c r="E621">
        <v>2.5</v>
      </c>
      <c r="F621">
        <v>4</v>
      </c>
      <c r="G621" t="s">
        <v>309</v>
      </c>
      <c r="H621" t="s">
        <v>105</v>
      </c>
      <c r="I621">
        <v>6.6</v>
      </c>
      <c r="J621">
        <v>6.5</v>
      </c>
      <c r="K621">
        <v>6.6</v>
      </c>
      <c r="L621">
        <v>43</v>
      </c>
      <c r="M621">
        <v>153</v>
      </c>
      <c r="N621">
        <v>7</v>
      </c>
      <c r="O621">
        <v>6</v>
      </c>
      <c r="P621" t="s">
        <v>1181</v>
      </c>
      <c r="Q621">
        <v>6.6</v>
      </c>
    </row>
    <row r="622" spans="1:17" x14ac:dyDescent="0.25">
      <c r="A622">
        <v>2025</v>
      </c>
      <c r="B622" t="s">
        <v>1109</v>
      </c>
      <c r="C622" t="s">
        <v>1182</v>
      </c>
      <c r="D622" t="s">
        <v>411</v>
      </c>
      <c r="E622">
        <v>2.5</v>
      </c>
      <c r="F622">
        <v>4</v>
      </c>
      <c r="G622" t="s">
        <v>309</v>
      </c>
      <c r="H622" t="s">
        <v>105</v>
      </c>
      <c r="I622">
        <v>6.8</v>
      </c>
      <c r="J622">
        <v>6.7</v>
      </c>
      <c r="K622">
        <v>6.8</v>
      </c>
      <c r="L622">
        <v>42</v>
      </c>
      <c r="M622">
        <v>158</v>
      </c>
      <c r="N622">
        <v>7</v>
      </c>
      <c r="O622">
        <v>6</v>
      </c>
      <c r="P622" t="s">
        <v>1183</v>
      </c>
      <c r="Q622">
        <v>6.8</v>
      </c>
    </row>
    <row r="623" spans="1:17" x14ac:dyDescent="0.25">
      <c r="A623">
        <v>2025</v>
      </c>
      <c r="B623" t="s">
        <v>1109</v>
      </c>
      <c r="C623" t="s">
        <v>1184</v>
      </c>
      <c r="D623" t="s">
        <v>477</v>
      </c>
      <c r="E623">
        <v>2.4</v>
      </c>
      <c r="F623">
        <v>4</v>
      </c>
      <c r="G623" t="s">
        <v>142</v>
      </c>
      <c r="H623" t="s">
        <v>105</v>
      </c>
      <c r="I623">
        <v>12.5</v>
      </c>
      <c r="J623">
        <v>9.6</v>
      </c>
      <c r="K623">
        <v>11.2</v>
      </c>
      <c r="L623">
        <v>25</v>
      </c>
      <c r="M623">
        <v>264</v>
      </c>
      <c r="N623">
        <v>4</v>
      </c>
      <c r="O623">
        <v>6</v>
      </c>
      <c r="P623" t="s">
        <v>1185</v>
      </c>
      <c r="Q623">
        <v>11.2</v>
      </c>
    </row>
    <row r="624" spans="1:17" x14ac:dyDescent="0.25">
      <c r="A624">
        <v>2025</v>
      </c>
      <c r="B624" t="s">
        <v>1109</v>
      </c>
      <c r="C624" t="s">
        <v>1186</v>
      </c>
      <c r="D624" t="s">
        <v>477</v>
      </c>
      <c r="E624">
        <v>2.4</v>
      </c>
      <c r="F624">
        <v>4</v>
      </c>
      <c r="G624" t="s">
        <v>142</v>
      </c>
      <c r="H624" t="s">
        <v>105</v>
      </c>
      <c r="I624">
        <v>12.4</v>
      </c>
      <c r="J624">
        <v>10.199999999999999</v>
      </c>
      <c r="K624">
        <v>11.4</v>
      </c>
      <c r="L624">
        <v>25</v>
      </c>
      <c r="M624">
        <v>269</v>
      </c>
      <c r="N624">
        <v>4</v>
      </c>
      <c r="O624">
        <v>6</v>
      </c>
      <c r="P624" t="s">
        <v>1187</v>
      </c>
      <c r="Q624">
        <v>11.4</v>
      </c>
    </row>
    <row r="625" spans="1:17" x14ac:dyDescent="0.25">
      <c r="A625">
        <v>2025</v>
      </c>
      <c r="B625" t="s">
        <v>1109</v>
      </c>
      <c r="C625" t="s">
        <v>1188</v>
      </c>
      <c r="D625" t="s">
        <v>477</v>
      </c>
      <c r="E625">
        <v>2.4</v>
      </c>
      <c r="F625">
        <v>4</v>
      </c>
      <c r="G625" t="s">
        <v>75</v>
      </c>
      <c r="H625" t="s">
        <v>105</v>
      </c>
      <c r="I625">
        <v>13.2</v>
      </c>
      <c r="J625">
        <v>10.3</v>
      </c>
      <c r="K625">
        <v>11.9</v>
      </c>
      <c r="L625">
        <v>24</v>
      </c>
      <c r="M625">
        <v>279</v>
      </c>
      <c r="N625">
        <v>4</v>
      </c>
      <c r="O625">
        <v>4</v>
      </c>
      <c r="P625" t="s">
        <v>1189</v>
      </c>
      <c r="Q625">
        <v>11.9</v>
      </c>
    </row>
    <row r="626" spans="1:17" x14ac:dyDescent="0.25">
      <c r="A626">
        <v>2025</v>
      </c>
      <c r="B626" t="s">
        <v>1109</v>
      </c>
      <c r="C626" t="s">
        <v>1190</v>
      </c>
      <c r="D626" t="s">
        <v>353</v>
      </c>
      <c r="E626">
        <v>2.4</v>
      </c>
      <c r="F626">
        <v>4</v>
      </c>
      <c r="G626" t="s">
        <v>142</v>
      </c>
      <c r="H626" t="s">
        <v>105</v>
      </c>
      <c r="I626">
        <v>10.5</v>
      </c>
      <c r="J626">
        <v>9.9</v>
      </c>
      <c r="K626">
        <v>10.3</v>
      </c>
      <c r="L626">
        <v>27</v>
      </c>
      <c r="M626">
        <v>239</v>
      </c>
      <c r="N626">
        <v>5</v>
      </c>
      <c r="O626">
        <v>6</v>
      </c>
      <c r="P626" t="s">
        <v>1191</v>
      </c>
      <c r="Q626">
        <v>10.3</v>
      </c>
    </row>
    <row r="627" spans="1:17" x14ac:dyDescent="0.25">
      <c r="A627">
        <v>2025</v>
      </c>
      <c r="B627" t="s">
        <v>1109</v>
      </c>
      <c r="C627" t="s">
        <v>1192</v>
      </c>
      <c r="D627" t="s">
        <v>353</v>
      </c>
      <c r="E627">
        <v>2.4</v>
      </c>
      <c r="F627">
        <v>4</v>
      </c>
      <c r="G627" t="s">
        <v>142</v>
      </c>
      <c r="H627" t="s">
        <v>105</v>
      </c>
      <c r="I627">
        <v>10.5</v>
      </c>
      <c r="J627">
        <v>9.6999999999999993</v>
      </c>
      <c r="K627">
        <v>10.1</v>
      </c>
      <c r="L627">
        <v>28</v>
      </c>
      <c r="M627">
        <v>236</v>
      </c>
      <c r="N627">
        <v>5</v>
      </c>
      <c r="O627">
        <v>6</v>
      </c>
      <c r="P627" t="s">
        <v>1193</v>
      </c>
      <c r="Q627">
        <v>10.1</v>
      </c>
    </row>
    <row r="628" spans="1:17" x14ac:dyDescent="0.25">
      <c r="A628">
        <v>2025</v>
      </c>
      <c r="B628" t="s">
        <v>1109</v>
      </c>
      <c r="C628" t="s">
        <v>1194</v>
      </c>
      <c r="D628" t="s">
        <v>353</v>
      </c>
      <c r="E628">
        <v>3.4</v>
      </c>
      <c r="F628">
        <v>6</v>
      </c>
      <c r="G628" t="s">
        <v>80</v>
      </c>
      <c r="H628" t="s">
        <v>105</v>
      </c>
      <c r="I628">
        <v>13.3</v>
      </c>
      <c r="J628">
        <v>10.5</v>
      </c>
      <c r="K628">
        <v>12</v>
      </c>
      <c r="L628">
        <v>24</v>
      </c>
      <c r="M628">
        <v>283</v>
      </c>
      <c r="N628">
        <v>4</v>
      </c>
      <c r="O628">
        <v>4</v>
      </c>
      <c r="P628" t="s">
        <v>1195</v>
      </c>
      <c r="Q628">
        <v>12</v>
      </c>
    </row>
    <row r="629" spans="1:17" x14ac:dyDescent="0.25">
      <c r="A629">
        <v>2025</v>
      </c>
      <c r="B629" t="s">
        <v>1109</v>
      </c>
      <c r="C629" t="s">
        <v>1196</v>
      </c>
      <c r="D629" t="s">
        <v>353</v>
      </c>
      <c r="E629">
        <v>3.4</v>
      </c>
      <c r="F629">
        <v>6</v>
      </c>
      <c r="G629" t="s">
        <v>80</v>
      </c>
      <c r="H629" t="s">
        <v>105</v>
      </c>
      <c r="I629">
        <v>13.7</v>
      </c>
      <c r="J629">
        <v>10.8</v>
      </c>
      <c r="K629">
        <v>12.4</v>
      </c>
      <c r="L629">
        <v>23</v>
      </c>
      <c r="M629">
        <v>291</v>
      </c>
      <c r="N629">
        <v>4</v>
      </c>
      <c r="O629">
        <v>4</v>
      </c>
      <c r="P629" t="s">
        <v>1197</v>
      </c>
      <c r="Q629">
        <v>12.4</v>
      </c>
    </row>
    <row r="630" spans="1:17" x14ac:dyDescent="0.25">
      <c r="A630">
        <v>2025</v>
      </c>
      <c r="B630" t="s">
        <v>1109</v>
      </c>
      <c r="C630" t="s">
        <v>1198</v>
      </c>
      <c r="D630" t="s">
        <v>353</v>
      </c>
      <c r="E630">
        <v>3.4</v>
      </c>
      <c r="F630">
        <v>6</v>
      </c>
      <c r="G630" t="s">
        <v>80</v>
      </c>
      <c r="H630" t="s">
        <v>105</v>
      </c>
      <c r="I630">
        <v>13.5</v>
      </c>
      <c r="J630">
        <v>10.6</v>
      </c>
      <c r="K630">
        <v>12.2</v>
      </c>
      <c r="L630">
        <v>23</v>
      </c>
      <c r="M630">
        <v>286</v>
      </c>
      <c r="N630">
        <v>4</v>
      </c>
      <c r="O630">
        <v>4</v>
      </c>
      <c r="P630" t="s">
        <v>1199</v>
      </c>
      <c r="Q630">
        <v>12.2</v>
      </c>
    </row>
    <row r="631" spans="1:17" x14ac:dyDescent="0.25">
      <c r="A631">
        <v>2025</v>
      </c>
      <c r="B631" t="s">
        <v>1109</v>
      </c>
      <c r="C631" t="s">
        <v>1200</v>
      </c>
      <c r="D631" t="s">
        <v>353</v>
      </c>
      <c r="E631">
        <v>3.4</v>
      </c>
      <c r="F631">
        <v>6</v>
      </c>
      <c r="G631" t="s">
        <v>80</v>
      </c>
      <c r="H631" t="s">
        <v>105</v>
      </c>
      <c r="I631">
        <v>12.7</v>
      </c>
      <c r="J631">
        <v>10.5</v>
      </c>
      <c r="K631">
        <v>11.7</v>
      </c>
      <c r="L631">
        <v>24</v>
      </c>
      <c r="M631">
        <v>274</v>
      </c>
      <c r="N631">
        <v>4</v>
      </c>
      <c r="O631">
        <v>4</v>
      </c>
      <c r="P631" t="s">
        <v>1201</v>
      </c>
      <c r="Q631">
        <v>11.7</v>
      </c>
    </row>
    <row r="632" spans="1:17" x14ac:dyDescent="0.25">
      <c r="A632">
        <v>2025</v>
      </c>
      <c r="B632" t="s">
        <v>1109</v>
      </c>
      <c r="C632" t="s">
        <v>1202</v>
      </c>
      <c r="D632" t="s">
        <v>353</v>
      </c>
      <c r="E632">
        <v>3.4</v>
      </c>
      <c r="F632">
        <v>6</v>
      </c>
      <c r="G632" t="s">
        <v>80</v>
      </c>
      <c r="H632" t="s">
        <v>105</v>
      </c>
      <c r="I632">
        <v>12.9</v>
      </c>
      <c r="J632">
        <v>11.6</v>
      </c>
      <c r="K632">
        <v>12.3</v>
      </c>
      <c r="L632">
        <v>23</v>
      </c>
      <c r="M632">
        <v>287</v>
      </c>
      <c r="N632">
        <v>4</v>
      </c>
      <c r="O632">
        <v>4</v>
      </c>
      <c r="P632" t="s">
        <v>1203</v>
      </c>
      <c r="Q632">
        <v>12.3</v>
      </c>
    </row>
    <row r="633" spans="1:17" x14ac:dyDescent="0.25">
      <c r="A633">
        <v>2025</v>
      </c>
      <c r="B633" t="s">
        <v>1204</v>
      </c>
      <c r="C633" t="s">
        <v>1205</v>
      </c>
      <c r="D633" t="s">
        <v>79</v>
      </c>
      <c r="E633">
        <v>2</v>
      </c>
      <c r="F633">
        <v>4</v>
      </c>
      <c r="G633" t="s">
        <v>142</v>
      </c>
      <c r="H633" t="s">
        <v>105</v>
      </c>
      <c r="I633">
        <v>12.7</v>
      </c>
      <c r="J633">
        <v>9.1999999999999993</v>
      </c>
      <c r="K633">
        <v>11.1</v>
      </c>
      <c r="L633">
        <v>25</v>
      </c>
      <c r="M633">
        <v>262</v>
      </c>
      <c r="N633">
        <v>4</v>
      </c>
      <c r="O633">
        <v>4</v>
      </c>
      <c r="P633" t="s">
        <v>1206</v>
      </c>
      <c r="Q633">
        <v>11.1</v>
      </c>
    </row>
    <row r="634" spans="1:17" x14ac:dyDescent="0.25">
      <c r="A634">
        <v>2025</v>
      </c>
      <c r="B634" t="s">
        <v>1204</v>
      </c>
      <c r="C634" t="s">
        <v>1207</v>
      </c>
      <c r="D634" t="s">
        <v>79</v>
      </c>
      <c r="E634">
        <v>2</v>
      </c>
      <c r="F634">
        <v>4</v>
      </c>
      <c r="G634" t="s">
        <v>142</v>
      </c>
      <c r="H634" t="s">
        <v>105</v>
      </c>
      <c r="I634">
        <v>12.8</v>
      </c>
      <c r="J634">
        <v>9.4</v>
      </c>
      <c r="K634">
        <v>11.3</v>
      </c>
      <c r="L634">
        <v>25</v>
      </c>
      <c r="M634">
        <v>266</v>
      </c>
      <c r="N634">
        <v>4</v>
      </c>
      <c r="O634">
        <v>4</v>
      </c>
      <c r="P634" t="s">
        <v>1208</v>
      </c>
      <c r="Q634">
        <v>11.3</v>
      </c>
    </row>
    <row r="635" spans="1:17" x14ac:dyDescent="0.25">
      <c r="A635">
        <v>2025</v>
      </c>
      <c r="B635" t="s">
        <v>1204</v>
      </c>
      <c r="C635" t="s">
        <v>1209</v>
      </c>
      <c r="D635" t="s">
        <v>79</v>
      </c>
      <c r="E635">
        <v>2</v>
      </c>
      <c r="F635">
        <v>4</v>
      </c>
      <c r="G635" t="s">
        <v>142</v>
      </c>
      <c r="H635" t="s">
        <v>105</v>
      </c>
      <c r="I635">
        <v>13.2</v>
      </c>
      <c r="J635">
        <v>9.4</v>
      </c>
      <c r="K635">
        <v>11.5</v>
      </c>
      <c r="L635">
        <v>25</v>
      </c>
      <c r="M635">
        <v>271</v>
      </c>
      <c r="N635">
        <v>4</v>
      </c>
      <c r="O635">
        <v>4</v>
      </c>
      <c r="P635" t="s">
        <v>1210</v>
      </c>
      <c r="Q635">
        <v>11.5</v>
      </c>
    </row>
    <row r="636" spans="1:17" x14ac:dyDescent="0.25">
      <c r="A636">
        <v>2025</v>
      </c>
      <c r="B636" t="s">
        <v>1204</v>
      </c>
      <c r="C636" t="s">
        <v>1211</v>
      </c>
      <c r="D636" t="s">
        <v>79</v>
      </c>
      <c r="E636">
        <v>2</v>
      </c>
      <c r="F636">
        <v>4</v>
      </c>
      <c r="G636" t="s">
        <v>142</v>
      </c>
      <c r="H636" t="s">
        <v>105</v>
      </c>
      <c r="I636">
        <v>12.7</v>
      </c>
      <c r="J636">
        <v>9.1999999999999993</v>
      </c>
      <c r="K636">
        <v>11.1</v>
      </c>
      <c r="L636">
        <v>25</v>
      </c>
      <c r="M636">
        <v>262</v>
      </c>
      <c r="N636">
        <v>4</v>
      </c>
      <c r="O636">
        <v>4</v>
      </c>
      <c r="P636" t="s">
        <v>1212</v>
      </c>
      <c r="Q636">
        <v>11.1</v>
      </c>
    </row>
    <row r="637" spans="1:17" x14ac:dyDescent="0.25">
      <c r="A637">
        <v>2025</v>
      </c>
      <c r="B637" t="s">
        <v>1204</v>
      </c>
      <c r="C637" t="s">
        <v>1213</v>
      </c>
      <c r="D637" t="s">
        <v>90</v>
      </c>
      <c r="E637">
        <v>2</v>
      </c>
      <c r="F637">
        <v>4</v>
      </c>
      <c r="G637" t="s">
        <v>119</v>
      </c>
      <c r="H637" t="s">
        <v>105</v>
      </c>
      <c r="I637">
        <v>9.9</v>
      </c>
      <c r="J637">
        <v>7.4</v>
      </c>
      <c r="K637">
        <v>8.8000000000000007</v>
      </c>
      <c r="L637">
        <v>32</v>
      </c>
      <c r="M637">
        <v>205</v>
      </c>
      <c r="N637">
        <v>5</v>
      </c>
      <c r="O637">
        <v>4</v>
      </c>
      <c r="P637" t="s">
        <v>1214</v>
      </c>
      <c r="Q637">
        <v>8.8000000000000007</v>
      </c>
    </row>
    <row r="638" spans="1:17" x14ac:dyDescent="0.25">
      <c r="A638">
        <v>2025</v>
      </c>
      <c r="B638" t="s">
        <v>1204</v>
      </c>
      <c r="C638" t="s">
        <v>1215</v>
      </c>
      <c r="D638" t="s">
        <v>90</v>
      </c>
      <c r="E638">
        <v>2</v>
      </c>
      <c r="F638">
        <v>4</v>
      </c>
      <c r="G638" t="s">
        <v>119</v>
      </c>
      <c r="H638" t="s">
        <v>73</v>
      </c>
      <c r="I638">
        <v>10.5</v>
      </c>
      <c r="J638">
        <v>7.7</v>
      </c>
      <c r="K638">
        <v>9.3000000000000007</v>
      </c>
      <c r="L638">
        <v>30</v>
      </c>
      <c r="M638">
        <v>217</v>
      </c>
      <c r="N638">
        <v>5</v>
      </c>
      <c r="O638">
        <v>4</v>
      </c>
      <c r="P638" t="s">
        <v>1216</v>
      </c>
      <c r="Q638">
        <v>9.3000000000000007</v>
      </c>
    </row>
    <row r="639" spans="1:17" x14ac:dyDescent="0.25">
      <c r="A639">
        <v>2025</v>
      </c>
      <c r="B639" t="s">
        <v>1204</v>
      </c>
      <c r="C639" t="s">
        <v>1217</v>
      </c>
      <c r="D639" t="s">
        <v>90</v>
      </c>
      <c r="E639">
        <v>1.5</v>
      </c>
      <c r="F639">
        <v>4</v>
      </c>
      <c r="G639" t="s">
        <v>142</v>
      </c>
      <c r="H639" t="s">
        <v>105</v>
      </c>
      <c r="I639">
        <v>8.4</v>
      </c>
      <c r="J639">
        <v>6.1</v>
      </c>
      <c r="K639">
        <v>7.4</v>
      </c>
      <c r="L639">
        <v>38</v>
      </c>
      <c r="M639">
        <v>174</v>
      </c>
      <c r="N639">
        <v>6</v>
      </c>
      <c r="O639">
        <v>6</v>
      </c>
      <c r="P639" t="s">
        <v>1218</v>
      </c>
      <c r="Q639">
        <v>7.4</v>
      </c>
    </row>
    <row r="640" spans="1:17" x14ac:dyDescent="0.25">
      <c r="A640">
        <v>2025</v>
      </c>
      <c r="B640" t="s">
        <v>1204</v>
      </c>
      <c r="C640" t="s">
        <v>1219</v>
      </c>
      <c r="D640" t="s">
        <v>90</v>
      </c>
      <c r="E640">
        <v>2</v>
      </c>
      <c r="F640">
        <v>4</v>
      </c>
      <c r="G640" t="s">
        <v>119</v>
      </c>
      <c r="H640" t="s">
        <v>105</v>
      </c>
      <c r="I640">
        <v>9.5</v>
      </c>
      <c r="J640">
        <v>6.7</v>
      </c>
      <c r="K640">
        <v>8.1999999999999993</v>
      </c>
      <c r="L640">
        <v>34</v>
      </c>
      <c r="M640">
        <v>194</v>
      </c>
      <c r="N640">
        <v>6</v>
      </c>
      <c r="O640">
        <v>6</v>
      </c>
      <c r="P640" t="s">
        <v>1220</v>
      </c>
      <c r="Q640">
        <v>8.1999999999999993</v>
      </c>
    </row>
    <row r="641" spans="1:17" x14ac:dyDescent="0.25">
      <c r="A641">
        <v>2025</v>
      </c>
      <c r="B641" t="s">
        <v>1204</v>
      </c>
      <c r="C641" t="s">
        <v>1219</v>
      </c>
      <c r="D641" t="s">
        <v>90</v>
      </c>
      <c r="E641">
        <v>2</v>
      </c>
      <c r="F641">
        <v>4</v>
      </c>
      <c r="G641" t="s">
        <v>75</v>
      </c>
      <c r="H641" t="s">
        <v>105</v>
      </c>
      <c r="I641">
        <v>9.1</v>
      </c>
      <c r="J641">
        <v>6.5</v>
      </c>
      <c r="K641">
        <v>8</v>
      </c>
      <c r="L641">
        <v>35</v>
      </c>
      <c r="M641">
        <v>187</v>
      </c>
      <c r="N641">
        <v>6</v>
      </c>
      <c r="O641">
        <v>6</v>
      </c>
      <c r="P641" t="s">
        <v>1220</v>
      </c>
      <c r="Q641">
        <v>8</v>
      </c>
    </row>
    <row r="642" spans="1:17" x14ac:dyDescent="0.25">
      <c r="A642">
        <v>2025</v>
      </c>
      <c r="B642" t="s">
        <v>1204</v>
      </c>
      <c r="C642" t="s">
        <v>1221</v>
      </c>
      <c r="D642" t="s">
        <v>79</v>
      </c>
      <c r="E642">
        <v>1.5</v>
      </c>
      <c r="F642">
        <v>4</v>
      </c>
      <c r="G642" t="s">
        <v>142</v>
      </c>
      <c r="H642" t="s">
        <v>105</v>
      </c>
      <c r="I642">
        <v>8.4</v>
      </c>
      <c r="J642">
        <v>6.5</v>
      </c>
      <c r="K642">
        <v>7.6</v>
      </c>
      <c r="L642">
        <v>37</v>
      </c>
      <c r="M642">
        <v>178</v>
      </c>
      <c r="N642">
        <v>6</v>
      </c>
      <c r="O642">
        <v>7</v>
      </c>
      <c r="P642" t="s">
        <v>1222</v>
      </c>
      <c r="Q642">
        <v>7.6</v>
      </c>
    </row>
    <row r="643" spans="1:17" x14ac:dyDescent="0.25">
      <c r="A643">
        <v>2025</v>
      </c>
      <c r="B643" t="s">
        <v>1204</v>
      </c>
      <c r="C643" t="s">
        <v>1223</v>
      </c>
      <c r="D643" t="s">
        <v>79</v>
      </c>
      <c r="E643">
        <v>1.5</v>
      </c>
      <c r="F643">
        <v>4</v>
      </c>
      <c r="G643" t="s">
        <v>142</v>
      </c>
      <c r="H643" t="s">
        <v>105</v>
      </c>
      <c r="I643">
        <v>9.4</v>
      </c>
      <c r="J643">
        <v>7.2</v>
      </c>
      <c r="K643">
        <v>8.4</v>
      </c>
      <c r="L643">
        <v>34</v>
      </c>
      <c r="M643">
        <v>198</v>
      </c>
      <c r="N643">
        <v>6</v>
      </c>
      <c r="O643">
        <v>7</v>
      </c>
      <c r="P643" t="s">
        <v>1224</v>
      </c>
      <c r="Q643">
        <v>8.4</v>
      </c>
    </row>
    <row r="644" spans="1:17" x14ac:dyDescent="0.25">
      <c r="A644">
        <v>2025</v>
      </c>
      <c r="B644" t="s">
        <v>1204</v>
      </c>
      <c r="C644" t="s">
        <v>1225</v>
      </c>
      <c r="D644" t="s">
        <v>79</v>
      </c>
      <c r="E644">
        <v>2</v>
      </c>
      <c r="F644">
        <v>4</v>
      </c>
      <c r="G644" t="s">
        <v>142</v>
      </c>
      <c r="H644" t="s">
        <v>105</v>
      </c>
      <c r="I644">
        <v>10.5</v>
      </c>
      <c r="J644">
        <v>7.8</v>
      </c>
      <c r="K644">
        <v>9.3000000000000007</v>
      </c>
      <c r="L644">
        <v>30</v>
      </c>
      <c r="M644">
        <v>218</v>
      </c>
      <c r="N644">
        <v>5</v>
      </c>
      <c r="O644">
        <v>6</v>
      </c>
      <c r="P644" t="s">
        <v>1226</v>
      </c>
      <c r="Q644">
        <v>9.3000000000000007</v>
      </c>
    </row>
    <row r="645" spans="1:17" x14ac:dyDescent="0.25">
      <c r="A645">
        <v>2025</v>
      </c>
      <c r="B645" t="s">
        <v>1227</v>
      </c>
      <c r="C645" t="s">
        <v>1228</v>
      </c>
      <c r="D645" t="s">
        <v>90</v>
      </c>
      <c r="E645">
        <v>2</v>
      </c>
      <c r="F645">
        <v>4</v>
      </c>
      <c r="G645" t="s">
        <v>142</v>
      </c>
      <c r="H645" t="s">
        <v>73</v>
      </c>
      <c r="I645">
        <v>9.3000000000000007</v>
      </c>
      <c r="J645">
        <v>7</v>
      </c>
      <c r="K645">
        <v>8.3000000000000007</v>
      </c>
      <c r="L645">
        <v>34</v>
      </c>
      <c r="M645">
        <v>194</v>
      </c>
      <c r="N645">
        <v>6</v>
      </c>
      <c r="O645">
        <v>4</v>
      </c>
      <c r="P645" t="s">
        <v>1229</v>
      </c>
      <c r="Q645">
        <v>8.3000000000000007</v>
      </c>
    </row>
    <row r="646" spans="1:17" x14ac:dyDescent="0.25">
      <c r="A646">
        <v>2025</v>
      </c>
      <c r="B646" t="s">
        <v>1227</v>
      </c>
      <c r="C646" t="s">
        <v>1230</v>
      </c>
      <c r="D646" t="s">
        <v>96</v>
      </c>
      <c r="E646">
        <v>2</v>
      </c>
      <c r="F646">
        <v>4</v>
      </c>
      <c r="G646" t="s">
        <v>142</v>
      </c>
      <c r="H646" t="s">
        <v>73</v>
      </c>
      <c r="I646">
        <v>10.6</v>
      </c>
      <c r="J646">
        <v>7.6</v>
      </c>
      <c r="K646">
        <v>9.1999999999999993</v>
      </c>
      <c r="L646">
        <v>31</v>
      </c>
      <c r="M646">
        <v>216</v>
      </c>
      <c r="N646">
        <v>5</v>
      </c>
      <c r="O646">
        <v>6</v>
      </c>
      <c r="P646" t="s">
        <v>1231</v>
      </c>
      <c r="Q646">
        <v>9.1999999999999993</v>
      </c>
    </row>
    <row r="647" spans="1:17" x14ac:dyDescent="0.25">
      <c r="A647">
        <v>2025</v>
      </c>
      <c r="B647" t="s">
        <v>1227</v>
      </c>
      <c r="C647" t="s">
        <v>1232</v>
      </c>
      <c r="D647" t="s">
        <v>124</v>
      </c>
      <c r="E647">
        <v>2</v>
      </c>
      <c r="F647">
        <v>4</v>
      </c>
      <c r="G647" t="s">
        <v>142</v>
      </c>
      <c r="H647" t="s">
        <v>73</v>
      </c>
      <c r="I647">
        <v>9.6999999999999993</v>
      </c>
      <c r="J647">
        <v>7.5</v>
      </c>
      <c r="K647">
        <v>8.6999999999999993</v>
      </c>
      <c r="L647">
        <v>32</v>
      </c>
      <c r="M647">
        <v>205</v>
      </c>
      <c r="N647">
        <v>5</v>
      </c>
      <c r="O647">
        <v>4</v>
      </c>
      <c r="P647" t="s">
        <v>1233</v>
      </c>
      <c r="Q647">
        <v>8.6999999999999993</v>
      </c>
    </row>
    <row r="648" spans="1:17" x14ac:dyDescent="0.25">
      <c r="A648">
        <v>2025</v>
      </c>
      <c r="B648" t="s">
        <v>1227</v>
      </c>
      <c r="C648" t="s">
        <v>1234</v>
      </c>
      <c r="D648" t="s">
        <v>137</v>
      </c>
      <c r="E648">
        <v>2</v>
      </c>
      <c r="F648">
        <v>4</v>
      </c>
      <c r="G648" t="s">
        <v>142</v>
      </c>
      <c r="H648" t="s">
        <v>73</v>
      </c>
      <c r="I648">
        <v>10.7</v>
      </c>
      <c r="J648">
        <v>8.1</v>
      </c>
      <c r="K648">
        <v>9.5</v>
      </c>
      <c r="L648">
        <v>30</v>
      </c>
      <c r="M648">
        <v>223</v>
      </c>
      <c r="N648">
        <v>5</v>
      </c>
      <c r="O648">
        <v>6</v>
      </c>
      <c r="P648" t="s">
        <v>1235</v>
      </c>
      <c r="Q648">
        <v>9.5</v>
      </c>
    </row>
    <row r="649" spans="1:17" x14ac:dyDescent="0.25">
      <c r="A649">
        <v>2025</v>
      </c>
      <c r="B649" t="s">
        <v>1227</v>
      </c>
      <c r="C649" t="s">
        <v>1236</v>
      </c>
      <c r="D649" t="s">
        <v>79</v>
      </c>
      <c r="E649">
        <v>2</v>
      </c>
      <c r="F649">
        <v>4</v>
      </c>
      <c r="G649" t="s">
        <v>142</v>
      </c>
      <c r="H649" t="s">
        <v>73</v>
      </c>
      <c r="I649">
        <v>10.1</v>
      </c>
      <c r="J649">
        <v>7.8</v>
      </c>
      <c r="K649">
        <v>9.1</v>
      </c>
      <c r="L649">
        <v>31</v>
      </c>
      <c r="M649">
        <v>213</v>
      </c>
      <c r="N649">
        <v>5</v>
      </c>
      <c r="O649">
        <v>4</v>
      </c>
      <c r="P649" t="s">
        <v>1237</v>
      </c>
      <c r="Q649">
        <v>9.1</v>
      </c>
    </row>
    <row r="650" spans="1:17" x14ac:dyDescent="0.25">
      <c r="A650">
        <v>2025</v>
      </c>
      <c r="B650" t="s">
        <v>1227</v>
      </c>
      <c r="C650" t="s">
        <v>1238</v>
      </c>
      <c r="D650" t="s">
        <v>79</v>
      </c>
      <c r="E650">
        <v>2</v>
      </c>
      <c r="F650">
        <v>4</v>
      </c>
      <c r="G650" t="s">
        <v>142</v>
      </c>
      <c r="H650" t="s">
        <v>73</v>
      </c>
      <c r="I650">
        <v>10</v>
      </c>
      <c r="J650">
        <v>7.8</v>
      </c>
      <c r="K650">
        <v>9</v>
      </c>
      <c r="L650">
        <v>31</v>
      </c>
      <c r="M650">
        <v>212</v>
      </c>
      <c r="N650">
        <v>5</v>
      </c>
      <c r="O650">
        <v>6</v>
      </c>
      <c r="P650" t="s">
        <v>1239</v>
      </c>
      <c r="Q650">
        <v>9</v>
      </c>
    </row>
    <row r="651" spans="1:17" x14ac:dyDescent="0.25">
      <c r="A651">
        <v>2025</v>
      </c>
      <c r="B651" t="s">
        <v>1227</v>
      </c>
      <c r="C651" t="s">
        <v>1240</v>
      </c>
      <c r="D651" t="s">
        <v>83</v>
      </c>
      <c r="E651">
        <v>2</v>
      </c>
      <c r="F651">
        <v>4</v>
      </c>
      <c r="G651" t="s">
        <v>142</v>
      </c>
      <c r="H651" t="s">
        <v>73</v>
      </c>
      <c r="I651">
        <v>11.5</v>
      </c>
      <c r="J651">
        <v>9</v>
      </c>
      <c r="K651">
        <v>10.4</v>
      </c>
      <c r="L651">
        <v>27</v>
      </c>
      <c r="M651">
        <v>244</v>
      </c>
      <c r="N651">
        <v>5</v>
      </c>
      <c r="O651">
        <v>6</v>
      </c>
      <c r="P651" t="s">
        <v>1241</v>
      </c>
      <c r="Q651">
        <v>10.4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Vehicle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Sean Mullin</cp:lastModifiedBy>
  <cp:revision>0</cp:revision>
  <dcterms:created xsi:type="dcterms:W3CDTF">2025-11-16T20:06:06Z</dcterms:created>
  <dcterms:modified xsi:type="dcterms:W3CDTF">2025-11-17T01:29:45Z</dcterms:modified>
  <dc:language>en-US</dc:language>
</cp:coreProperties>
</file>